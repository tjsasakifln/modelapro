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7fe0eebaf648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aPro" sheetId="1" r:id="R554fa09aa1d44a91"/>
    <x:sheet xmlns:r="http://schemas.openxmlformats.org/officeDocument/2006/relationships" name="Resumo" sheetId="2" r:id="R820e9548c6794942"/>
    <x:sheet xmlns:r="http://schemas.openxmlformats.org/officeDocument/2006/relationships" name="SisDEA" sheetId="3" r:id="R022839918a72463c"/>
    <x:sheet xmlns:r="http://schemas.openxmlformats.org/officeDocument/2006/relationships" name="Amostras" sheetId="4" r:id="R45a33908a8e547bf"/>
    <x:sheet xmlns:r="http://schemas.openxmlformats.org/officeDocument/2006/relationships" name="Dicionario" sheetId="5" r:id="R697607ce663e4dcb"/>
    <x:sheet xmlns:r="http://schemas.openxmlformats.org/officeDocument/2006/relationships" name="Orientacoes" sheetId="6" r:id="R49331c7d113441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&quot;R$&quot; #,##0"/>
    <x:numFmt numFmtId="201" formatCode="#,##0.00"/>
    <x:numFmt numFmtId="202" formatCode="#,##0"/>
    <x:numFmt numFmtId="203" formatCode="dd/mm/yyyy"/>
    <x:numFmt numFmtId="204" formatCode="0.0"/>
  </x:numFmts>
  <x:fonts count="12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sz val="10"/>
      <x:color rgb="FF0563C1"/>
      <x:name val="Arial"/>
    </x:font>
    <x:font>
      <x:b/>
      <x:sz val="15"/>
      <x:color rgb="FF17365D"/>
      <x:name val="Arial"/>
    </x:font>
    <x:font>
      <x:b/>
      <x:sz val="10"/>
      <x:color rgb="FF1F2937"/>
      <x:name val="Arial"/>
    </x:font>
    <x:font>
      <x:i/>
      <x:sz val="10"/>
      <x:color rgb="FF1F2937"/>
      <x:name val="Arial"/>
    </x:font>
    <x:font>
      <x:b/>
      <x:sz val="14"/>
      <x:color rgb="FF17365D"/>
      <x:name val="Arial"/>
    </x:font>
    <x:font>
      <x:i/>
      <x:sz val="10"/>
      <x:color rgb="FF666666"/>
      <x:name val="Arial"/>
    </x:font>
    <x:font>
      <x:sz val="10"/>
      <x:color rgb="FF000000"/>
      <x:name val="Arial"/>
    </x:font>
    <x:font>
      <x:b/>
      <x:sz val="10"/>
      <x:color rgb="FF17365D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1">
    <x:border/>
    <x:border>
      <x:bottom style="thin">
        <x:color rgb="FF2F75B5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2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vertical="center"/>
    </x:xf>
    <x:xf numFmtId="0" fontId="6" fillId="0" borderId="3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0" fontId="6" fillId="0" borderId="9" xfId="0" applyNumberFormat="1" applyFont="1" applyFill="1" applyBorder="1" applyAlignment="1">
      <x:alignment vertical="center"/>
    </x:xf>
    <x:xf numFmtId="203" fontId="1" fillId="0" borderId="6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0" fontId="6" fillId="3" borderId="6" xfId="0" applyNumberFormat="1" applyFont="1" applyFill="1" applyBorder="1" applyAlignment="1">
      <x:alignment vertical="center"/>
    </x:xf>
    <x:xf numFmtId="0" fontId="1" fillId="4" borderId="1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2" fillId="5" borderId="0" xfId="0" applyNumberFormat="1" applyFont="1" applyFill="1" applyBorder="1"/>
    <x:xf numFmtId="0" fontId="6" fillId="0" borderId="2" xfId="0" applyNumberFormat="1" applyFont="1" applyFill="1" applyBorder="1"/>
    <x:xf numFmtId="0" fontId="6" fillId="0" borderId="5" xfId="0" applyNumberFormat="1" applyFont="1" applyFill="1" applyBorder="1"/>
    <x:xf numFmtId="0" fontId="6" fillId="0" borderId="8" xfId="0" applyNumberFormat="1" applyFont="1" applyFill="1" applyBorder="1"/>
    <x:xf numFmtId="0" fontId="6" fillId="0" borderId="3" xfId="0" applyNumberFormat="1" applyFont="1" applyFill="1" applyBorder="1"/>
    <x:xf numFmtId="0" fontId="6" fillId="0" borderId="6" xfId="0" applyNumberFormat="1" applyFont="1" applyFill="1" applyBorder="1"/>
    <x:xf numFmtId="200" fontId="1" fillId="0" borderId="6" xfId="0" applyNumberFormat="1" applyFont="1" applyFill="1" applyBorder="1"/>
    <x:xf numFmtId="200" fontId="1" fillId="0" borderId="7" xfId="0" applyNumberFormat="1" applyFont="1" applyFill="1" applyBorder="1"/>
    <x:xf numFmtId="200" fontId="6" fillId="0" borderId="6" xfId="0" applyNumberFormat="1" applyFont="1" applyFill="1" applyBorder="1"/>
    <x:xf numFmtId="0" fontId="1" fillId="4" borderId="9" xfId="0" applyNumberFormat="1" applyFont="1" applyFill="1" applyBorder="1"/>
    <x:xf numFmtId="0" fontId="1" fillId="4" borderId="10" xfId="0" applyNumberFormat="1" applyFont="1" applyFill="1" applyBorder="1"/>
    <x:xf numFmtId="0" fontId="1" fillId="4" borderId="9" xfId="0" applyNumberFormat="1" applyFont="1" applyFill="1" applyBorder="1" applyAlignment="1">
      <x:alignment wrapText="1"/>
    </x:xf>
    <x:xf numFmtId="0" fontId="1" fillId="4" borderId="1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4" xfId="0" applyNumberFormat="1" applyFont="1" applyFill="1" applyBorder="1" applyAlignment="1">
      <x:alignment horizontal="center"/>
    </x:xf>
    <x:xf numFmtId="200" fontId="1" fillId="0" borderId="9" xfId="0" applyNumberFormat="1" applyFont="1" applyFill="1" applyBorder="1"/>
    <x:xf numFmtId="204" fontId="1" fillId="0" borderId="6" xfId="0" applyNumberFormat="1" applyFont="1" applyFill="1" applyBorder="1"/>
    <x:xf numFmtId="204" fontId="1" fillId="0" borderId="9" xfId="0" applyNumberFormat="1" applyFont="1" applyFill="1" applyBorder="1"/>
    <x:xf numFmtId="200" fontId="1" fillId="0" borderId="10" xfId="0" applyNumberFormat="1" applyFont="1" applyFill="1" applyBorder="1"/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0" borderId="1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4" borderId="0" xfId="0" applyNumberFormat="1" applyFont="1" applyFill="1" applyBorder="1"/>
    <x:xf numFmtId="200" fontId="10" fillId="0" borderId="0" xfId="0" applyNumberFormat="1" applyFont="1" applyFill="1" applyBorder="1"/>
    <x:xf numFmtId="0" fontId="4" fillId="0" borderId="0" xfId="0" applyNumberFormat="1" applyFont="1" applyFill="1" applyBorder="1"/>
    <x:xf numFmtId="0" fontId="2" fillId="5" borderId="2" xfId="0" applyNumberFormat="1" applyFont="1" applyFill="1" applyBorder="1"/>
    <x:xf numFmtId="0" fontId="2" fillId="5" borderId="4" xfId="0" applyNumberFormat="1" applyFont="1" applyFill="1" applyBorder="1"/>
    <x:xf numFmtId="0" fontId="1" fillId="6" borderId="2" xfId="0" applyNumberFormat="1" applyFont="1" applyFill="1" applyBorder="1"/>
    <x:xf numFmtId="0" fontId="1" fillId="6" borderId="5" xfId="0" applyNumberFormat="1" applyFont="1" applyFill="1" applyBorder="1"/>
    <x:xf numFmtId="0" fontId="1" fillId="6" borderId="8" xfId="0" applyNumberFormat="1" applyFont="1" applyFill="1" applyBorder="1"/>
    <x:xf numFmtId="0" fontId="11" fillId="6" borderId="2" xfId="0" applyNumberFormat="1" applyFont="1" applyFill="1" applyBorder="1"/>
    <x:xf numFmtId="0" fontId="11" fillId="6" borderId="5" xfId="0" applyNumberFormat="1" applyFont="1" applyFill="1" applyBorder="1"/>
    <x:xf numFmtId="0" fontId="11" fillId="6" borderId="8" xfId="0" applyNumberFormat="1" applyFont="1" applyFill="1" applyBorder="1"/>
    <x:xf numFmtId="0" fontId="11" fillId="6" borderId="2" xfId="0" applyNumberFormat="1" applyFont="1" applyFill="1" applyBorder="1" applyAlignment="1">
      <x:alignment horizontal="center"/>
    </x:xf>
    <x:xf numFmtId="0" fontId="11" fillId="6" borderId="5" xfId="0" applyNumberFormat="1" applyFont="1" applyFill="1" applyBorder="1" applyAlignment="1">
      <x:alignment horizontal="center"/>
    </x:xf>
    <x:xf numFmtId="0" fontId="11" fillId="6" borderId="8" xfId="0" applyNumberFormat="1" applyFont="1" applyFill="1" applyBorder="1" applyAlignment="1">
      <x:alignment horizontal="center"/>
    </x:xf>
    <x:xf numFmtId="0" fontId="1" fillId="0" borderId="4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/>
    <x:xf numFmtId="0" fontId="4" fillId="0" borderId="9" xfId="0" applyNumberFormat="1" applyFont="1" applyFill="1" applyBorder="1"/>
    <x:xf numFmtId="0" fontId="4" fillId="0" borderId="6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200" fontId="1" fillId="0" borderId="7" xfId="0" applyNumberFormat="1" applyFont="1" applyFill="1" applyBorder="1" applyAlignment="1">
      <x:alignment vertical="center"/>
    </x:xf>
    <x:xf numFmtId="200" fontId="6" fillId="0" borderId="6" xfId="0" applyNumberFormat="1" applyFont="1" applyFill="1" applyBorder="1" applyAlignment="1">
      <x:alignment vertical="center"/>
    </x:xf>
    <x:xf numFmtId="0" fontId="1" fillId="4" borderId="9" xfId="0" applyNumberFormat="1" applyFont="1" applyFill="1" applyBorder="1" applyAlignment="1">
      <x:alignment vertical="center" wrapText="1"/>
    </x:xf>
    <x:xf numFmtId="0" fontId="1" fillId="4" borderId="10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204" fontId="1" fillId="0" borderId="6" xfId="0" applyNumberFormat="1" applyFont="1" applyFill="1" applyBorder="1" applyAlignment="1">
      <x:alignment vertical="center"/>
    </x:xf>
    <x:xf numFmtId="200" fontId="1" fillId="0" borderId="9" xfId="0" applyNumberFormat="1" applyFont="1" applyFill="1" applyBorder="1" applyAlignment="1">
      <x:alignment vertical="center"/>
    </x:xf>
    <x:xf numFmtId="204" fontId="1" fillId="0" borderId="9" xfId="0" applyNumberFormat="1" applyFont="1" applyFill="1" applyBorder="1" applyAlignment="1">
      <x:alignment vertical="center"/>
    </x:xf>
    <x:xf numFmtId="200" fontId="1" fillId="0" borderId="10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4cedfe3a0a4aef" /><Relationship Type="http://schemas.openxmlformats.org/officeDocument/2006/relationships/theme" Target="/xl/theme/theme1.xml" Id="Rfc40ef91199748c0" /><Relationship Type="http://schemas.openxmlformats.org/officeDocument/2006/relationships/sharedStrings" Target="/xl/sharedStrings.xml" Id="R1f487bdf06234f77" /><Relationship Type="http://schemas.openxmlformats.org/officeDocument/2006/relationships/worksheet" Target="/xl/worksheets/sheet1.xml" Id="R554fa09aa1d44a91" /><Relationship Type="http://schemas.openxmlformats.org/officeDocument/2006/relationships/worksheet" Target="/xl/worksheets/sheet2.xml" Id="R820e9548c6794942" /><Relationship Type="http://schemas.openxmlformats.org/officeDocument/2006/relationships/worksheet" Target="/xl/worksheets/sheet3.xml" Id="R022839918a72463c" /><Relationship Type="http://schemas.openxmlformats.org/officeDocument/2006/relationships/worksheet" Target="/xl/worksheets/sheet4.xml" Id="R45a33908a8e547bf" /><Relationship Type="http://schemas.openxmlformats.org/officeDocument/2006/relationships/worksheet" Target="/xl/worksheets/sheet5.xml" Id="R697607ce663e4dcb" /><Relationship Type="http://schemas.openxmlformats.org/officeDocument/2006/relationships/worksheet" Target="/xl/worksheets/sheet6.xml" Id="R49331c7d11344132" /></Relationships>
</file>

<file path=xl/tables/table1.xml><?xml version="1.0" encoding="utf-8"?>
<x:table xmlns:x="http://schemas.openxmlformats.org/spreadsheetml/2006/main" id="1" name="BaseModelaPro" displayName="BaseModelaPro" ref="A1:J65" headerRowCount="1" totalsRowCount="0" totalsRowShown="0">
  <x:tableColumns count="10">
    <x:tableColumn id="1" name="id"/>
    <x:tableColumn id="2" name="preco"/>
    <x:tableColumn id="3" name="area"/>
    <x:tableColumn id="4" name="dormitorios"/>
    <x:tableColumn id="5" name="vagas"/>
    <x:tableColumn id="6" name="banheiros"/>
    <x:tableColumn id="7" name="fonte"/>
    <x:tableColumn id="8" name="data_coleta"/>
    <x:tableColumn id="9" name="endereco"/>
    <x:tableColumn id="10" name="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BaseSisDEA" displayName="BaseSisDEA" ref="A4:AM91" headerRowCount="1" totalsRowCount="0" totalsRowShown="0">
  <x:tableColumns count="39">
    <x:tableColumn id="1" name="ID"/>
    <x:tableColumn id="2" name="Incluir"/>
    <x:tableColumn id="3" name="Motivo_exclusao"/>
    <x:tableColumn id="4" name="Preco_oferta_R$"/>
    <x:tableColumn id="5" name="Preco_modelo_R$"/>
    <x:tableColumn id="6" name="Area_priv_m2"/>
    <x:tableColumn id="7" name="Area_total_m2"/>
    <x:tableColumn id="8" name="Preco_unit_R$_m2"/>
    <x:tableColumn id="9" name="Dormitorios"/>
    <x:tableColumn id="10" name="Suites"/>
    <x:tableColumn id="11" name="Banheiros"/>
    <x:tableColumn id="12" name="Vagas"/>
    <x:tableColumn id="13" name="Elevador_1_0"/>
    <x:tableColumn id="14" name="Andar_num"/>
    <x:tableColumn id="15" name="Andar_alto_1_0"/>
    <x:tableColumn id="16" name="Semi_mobiliado_1_0"/>
    <x:tableColumn id="17" name="Mobiliado_total_1_0"/>
    <x:tableColumn id="18" name="Reformado_1_0"/>
    <x:tableColumn id="19" name="Alto_padrao_1_0"/>
    <x:tableColumn id="20" name="Em_construcao_1_0"/>
    <x:tableColumn id="21" name="Vista_mar_1_0"/>
    <x:tableColumn id="22" name="Condominio_R$_mes"/>
    <x:tableColumn id="23" name="IPTU_R$_ano"/>
    <x:tableColumn id="24" name="Portaria_24h_1_0"/>
    <x:tableColumn id="25" name="Piscina_1_0"/>
    <x:tableColumn id="26" name="Sacada_1_0"/>
    <x:tableColumn id="27" name="Churrasqueira_1_0"/>
    <x:tableColumn id="28" name="Vaga_livre_1_0"/>
    <x:tableColumn id="29" name="Microzona_cod"/>
    <x:tableColumn id="30" name="Conservacao_cod"/>
    <x:tableColumn id="31" name="Padrao_cod"/>
    <x:tableColumn id="32" name="Natureza_oferta_1"/>
    <x:tableColumn id="33" name="Fonte_cod"/>
    <x:tableColumn id="34" name="Data_coleta"/>
    <x:tableColumn id="35" name="Fonte"/>
    <x:tableColumn id="36" name="Endereco"/>
    <x:tableColumn id="37" name="URL"/>
    <x:tableColumn id="38" name="Confiabilidade"/>
    <x:tableColumn id="39" name="Observaco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AmostrasMercado" displayName="AmostrasMercado" ref="A4:AK91" headerRowCount="1" totalsRowCount="0" totalsRowShown="0">
  <x:tableColumns count="37">
    <x:tableColumn id="1" name="ID"/>
    <x:tableColumn id="2" name="Fonte"/>
    <x:tableColumn id="3" name="URL"/>
    <x:tableColumn id="4" name="Data consulta"/>
    <x:tableColumn id="5" name="Natureza do preço"/>
    <x:tableColumn id="6" name="Situação"/>
    <x:tableColumn id="7" name="Bairro"/>
    <x:tableColumn id="8" name="Endereço"/>
    <x:tableColumn id="9" name="Empreendimento"/>
    <x:tableColumn id="10" name="Preço oferta (R$)"/>
    <x:tableColumn id="11" name="Área privativa (m²)"/>
    <x:tableColumn id="12" name="Área total (m²)"/>
    <x:tableColumn id="13" name="Preço unitário (R$/m²)"/>
    <x:tableColumn id="14" name="Dormitórios"/>
    <x:tableColumn id="15" name="Suítes"/>
    <x:tableColumn id="16" name="Banheiros"/>
    <x:tableColumn id="17" name="Vagas"/>
    <x:tableColumn id="18" name="Condomínio (R$/mês)"/>
    <x:tableColumn id="19" name="IPTU publicado (R$)"/>
    <x:tableColumn id="20" name="Periodicidade IPTU"/>
    <x:tableColumn id="21" name="IPTU anual normalizado (R$)"/>
    <x:tableColumn id="22" name="Andar"/>
    <x:tableColumn id="23" name="Elevador"/>
    <x:tableColumn id="24" name="Estado/padrão publicado"/>
    <x:tableColumn id="25" name="Semi-mobiliado"/>
    <x:tableColumn id="26" name="Mobiliado total"/>
    <x:tableColumn id="27" name="Reformado"/>
    <x:tableColumn id="28" name="Alto padrão"/>
    <x:tableColumn id="29" name="Em construção"/>
    <x:tableColumn id="30" name="Vista mar"/>
    <x:tableColumn id="31" name="URL individual"/>
    <x:tableColumn id="32" name="Conflito publicado"/>
    <x:tableColumn id="33" name="Duplicidade provável"/>
    <x:tableColumn id="34" name="Incluir preliminar"/>
    <x:tableColumn id="35" name="Motivo de exclusão"/>
    <x:tableColumn id="36" name="Confiabilidade"/>
    <x:tableColumn id="37" name="Observaçõ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7917490648e46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2d7e9e7363a45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275e725501a440a" /></Relationships>
</file>

<file path=xl/worksheets/sheet1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20" hidden="0" customWidth="1"/>
    <x:col min="8" max="8" width="13" hidden="0" customWidth="1"/>
    <x:col min="9" max="9" width="31" hidden="0" customWidth="1"/>
    <x:col min="10" max="10" width="48" hidden="0" customWidth="1"/>
  </x:cols>
  <x:sheetData>
    <x:row r="1" ht="34" customHeight="1">
      <x:c r="A1" s="6" t="str">
        <x:v>id</x:v>
      </x:c>
      <x:c r="B1" s="6" t="str">
        <x:v>preco</x:v>
      </x:c>
      <x:c r="C1" s="6" t="str">
        <x:v>area</x:v>
      </x:c>
      <x:c r="D1" s="6" t="str">
        <x:v>dormitorios</x:v>
      </x:c>
      <x:c r="E1" s="6" t="str">
        <x:v>vagas</x:v>
      </x:c>
      <x:c r="F1" s="6" t="str">
        <x:v>banheiros</x:v>
      </x:c>
      <x:c r="G1" s="6" t="str">
        <x:v>fonte</x:v>
      </x:c>
      <x:c r="H1" s="6" t="str">
        <x:v>data_coleta</x:v>
      </x:c>
      <x:c r="I1" s="6" t="str">
        <x:v>endereco</x:v>
      </x:c>
      <x:c r="J1" s="6" t="str">
        <x:v>url</x:v>
      </x:c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>
      <x:c r="A2" s="16" t="str">
        <x:v>GR-34953</x:v>
      </x:c>
      <x:c r="B2" s="12" t="n">
        <x:v>815000</x:v>
      </x:c>
      <x:c r="C2" s="13" t="n">
        <x:v>80.28</x:v>
      </x:c>
      <x:c r="D2" s="14" t="n">
        <x:v>3</x:v>
      </x:c>
      <x:c r="E2" s="14" t="n">
        <x:v>1</x:v>
      </x:c>
      <x:c r="F2" s="14" t="n">
        <x:v>2</x:v>
      </x:c>
      <x:c r="G2" s="11" t="str">
        <x:v>Gralha Imóveis</x:v>
      </x:c>
      <x:c r="H2" s="15" t="n">
        <x:v>46278.625</x:v>
      </x:c>
      <x:c r="I2" s="11" t="str">
        <x:v>Rua General Bittencourt</x:v>
      </x:c>
      <x:c r="J2" s="17" t="str">
        <x:v>https://www.gralhaimoveis.com.br/imovel/venda%2Bapartamento%2B3-quartos%2Bcentro%2Bflorianopolis%2Bsc%2B80m2%2Brs800000/165133255</x:v>
      </x:c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</x:row>
    <x:row r="3">
      <x:c r="A3" s="16" t="str">
        <x:v>GR-40294</x:v>
      </x:c>
      <x:c r="B3" s="12" t="n">
        <x:v>1300000</x:v>
      </x:c>
      <x:c r="C3" s="13" t="n">
        <x:v>108</x:v>
      </x:c>
      <x:c r="D3" s="14" t="n">
        <x:v>3</x:v>
      </x:c>
      <x:c r="E3" s="14" t="n">
        <x:v>2</x:v>
      </x:c>
      <x:c r="F3" s="14" t="n">
        <x:v>2</x:v>
      </x:c>
      <x:c r="G3" s="11" t="str">
        <x:v>Gralha Imóveis</x:v>
      </x:c>
      <x:c r="H3" s="15" t="n">
        <x:v>46278.625</x:v>
      </x:c>
      <x:c r="I3" s="11"/>
      <x:c r="J3" s="17" t="str">
        <x:v>https://www.gralhaimoveis.com.br/imovel/venda%2Bapartamento%2B3-quartos%2Bcentro%2Bflorianopolis%2Bsc%2B108m2%2Brs1300000/165136798</x:v>
      </x:c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</x:row>
    <x:row r="4">
      <x:c r="A4" s="16" t="str">
        <x:v>GR-41221</x:v>
      </x:c>
      <x:c r="B4" s="12" t="n">
        <x:v>1070000</x:v>
      </x:c>
      <x:c r="C4" s="13" t="n">
        <x:v>133</x:v>
      </x:c>
      <x:c r="D4" s="14" t="n">
        <x:v>4</x:v>
      </x:c>
      <x:c r="E4" s="14" t="n">
        <x:v>1</x:v>
      </x:c>
      <x:c r="F4" s="14" t="n">
        <x:v>2</x:v>
      </x:c>
      <x:c r="G4" s="11" t="str">
        <x:v>Gralha Imóveis</x:v>
      </x:c>
      <x:c r="H4" s="15" t="n">
        <x:v>46278.625</x:v>
      </x:c>
      <x:c r="I4" s="11" t="str">
        <x:v>Rua Almirante Lamego</x:v>
      </x:c>
      <x:c r="J4" s="17" t="str">
        <x:v>https://www.gralhaimoveis.com.br/imovel/venda%2Bapartamento%2B4-quartos%2Bcentro%2Bflorianopolis%2Bsc%2B133m2%2Brs1070000/165137549</x:v>
      </x:c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</x:row>
    <x:row r="5">
      <x:c r="A5" s="16" t="str">
        <x:v>GR-41980</x:v>
      </x:c>
      <x:c r="B5" s="12" t="n">
        <x:v>1000000</x:v>
      </x:c>
      <x:c r="C5" s="13" t="n">
        <x:v>67</x:v>
      </x:c>
      <x:c r="D5" s="14" t="n">
        <x:v>2</x:v>
      </x:c>
      <x:c r="E5" s="14" t="n">
        <x:v>2</x:v>
      </x:c>
      <x:c r="F5" s="14" t="n">
        <x:v>2</x:v>
      </x:c>
      <x:c r="G5" s="11" t="str">
        <x:v>Gralha Imóveis</x:v>
      </x:c>
      <x:c r="H5" s="15" t="n">
        <x:v>46278.625</x:v>
      </x:c>
      <x:c r="I5" s="11" t="str">
        <x:v>Avenida Mauro Ramos</x:v>
      </x:c>
      <x:c r="J5" s="17" t="str">
        <x:v>https://www.gralhaimoveis.com.br/imovel/venda%2Bapartamento%2B2-quartos%2Bcentro%2Bflorianopolis%2Bsc%2B67m2%2Brs1000000/165138081</x:v>
      </x:c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</x:row>
    <x:row r="6">
      <x:c r="A6" s="16" t="str">
        <x:v>GR-25505</x:v>
      </x:c>
      <x:c r="B6" s="12" t="n">
        <x:v>2850000</x:v>
      </x:c>
      <x:c r="C6" s="13" t="n">
        <x:v>101</x:v>
      </x:c>
      <x:c r="D6" s="14" t="n">
        <x:v>2</x:v>
      </x:c>
      <x:c r="E6" s="14" t="n">
        <x:v>2</x:v>
      </x:c>
      <x:c r="F6" s="14" t="n">
        <x:v>2</x:v>
      </x:c>
      <x:c r="G6" s="11" t="str">
        <x:v>Gralha Imóveis</x:v>
      </x:c>
      <x:c r="H6" s="15" t="n">
        <x:v>46278.625</x:v>
      </x:c>
      <x:c r="I6" s="11" t="str">
        <x:v>Rua Duarte Schutel</x:v>
      </x:c>
      <x:c r="J6" s="17" t="str">
        <x:v>https://www.gralhaimoveis.com.br/imovel/venda%2Bapartamento%2B2-quartos%2Bcentro%2Bflorianopolis%2Bsc%2B101m2%2Brs2850000/165124768</x:v>
      </x:c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</x:row>
    <x:row r="7">
      <x:c r="A7" s="16" t="str">
        <x:v>GR-32875</x:v>
      </x:c>
      <x:c r="B7" s="12" t="n">
        <x:v>4150000</x:v>
      </x:c>
      <x:c r="C7" s="13" t="n">
        <x:v>140</x:v>
      </x:c>
      <x:c r="D7" s="14" t="n">
        <x:v>3</x:v>
      </x:c>
      <x:c r="E7" s="14" t="n">
        <x:v>3</x:v>
      </x:c>
      <x:c r="F7" s="14" t="n">
        <x:v>3</x:v>
      </x:c>
      <x:c r="G7" s="11" t="str">
        <x:v>Gralha Imóveis</x:v>
      </x:c>
      <x:c r="H7" s="15" t="n">
        <x:v>46278.625</x:v>
      </x:c>
      <x:c r="I7" s="11" t="str">
        <x:v>Avenida Trompowsky</x:v>
      </x:c>
      <x:c r="J7" s="17" t="str">
        <x:v>https://www.gralhaimoveis.com.br/imovel/venda%2Bapartamento%2B3-quartos%2Bcentro%2Bflorianopolis%2Bsc%2B140m2%2Brs4150000/165130887</x:v>
      </x:c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</x:row>
    <x:row r="8">
      <x:c r="A8" s="16" t="str">
        <x:v>GR-35452</x:v>
      </x:c>
      <x:c r="B8" s="12" t="n">
        <x:v>1250000</x:v>
      </x:c>
      <x:c r="C8" s="13" t="n">
        <x:v>81</x:v>
      </x:c>
      <x:c r="D8" s="14" t="n">
        <x:v>3</x:v>
      </x:c>
      <x:c r="E8" s="14" t="n">
        <x:v>1</x:v>
      </x:c>
      <x:c r="F8" s="14" t="n">
        <x:v>2</x:v>
      </x:c>
      <x:c r="G8" s="11" t="str">
        <x:v>Gralha Imóveis</x:v>
      </x:c>
      <x:c r="H8" s="15" t="n">
        <x:v>46278.625</x:v>
      </x:c>
      <x:c r="I8" s="11" t="str">
        <x:v>Rua Rafael Bandeira</x:v>
      </x:c>
      <x:c r="J8" s="17" t="str">
        <x:v>https://www.gralhaimoveis.com.br/imovel/venda%2Bapartamento%2B3-quartos%2Bcentro%2Bflorianopolis%2Bsc%2B81m2%2Brs1250000/165133590</x:v>
      </x:c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</x:row>
    <x:row r="9">
      <x:c r="A9" s="16" t="str">
        <x:v>GR-39119</x:v>
      </x:c>
      <x:c r="B9" s="12" t="n">
        <x:v>1350000</x:v>
      </x:c>
      <x:c r="C9" s="13" t="n">
        <x:v>140</x:v>
      </x:c>
      <x:c r="D9" s="14" t="n">
        <x:v>4</x:v>
      </x:c>
      <x:c r="E9" s="14" t="n">
        <x:v>2</x:v>
      </x:c>
      <x:c r="F9" s="14" t="n">
        <x:v>3</x:v>
      </x:c>
      <x:c r="G9" s="11" t="str">
        <x:v>Gralha Imóveis</x:v>
      </x:c>
      <x:c r="H9" s="15" t="n">
        <x:v>46278.625</x:v>
      </x:c>
      <x:c r="I9" s="11" t="str">
        <x:v>Rua Ferreira Lima</x:v>
      </x:c>
      <x:c r="J9" s="17" t="str">
        <x:v>https://www.gralhaimoveis.com.br/imovel/venda%2Bapartamento%2B4-quartos%2Bcentro%2Bflorianopolis%2Bsc%2B140m2%2Brs1350000/165135876</x:v>
      </x:c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</x:row>
    <x:row r="10">
      <x:c r="A10" s="16" t="str">
        <x:v>GR-165139116</x:v>
      </x:c>
      <x:c r="B10" s="12" t="n">
        <x:v>1980000</x:v>
      </x:c>
      <x:c r="C10" s="13" t="n">
        <x:v>96.96</x:v>
      </x:c>
      <x:c r="D10" s="14" t="n">
        <x:v>3</x:v>
      </x:c>
      <x:c r="E10" s="14" t="n">
        <x:v>1</x:v>
      </x:c>
      <x:c r="F10" s="14" t="n">
        <x:v>3</x:v>
      </x:c>
      <x:c r="G10" s="11" t="str">
        <x:v>Gralha Imóveis</x:v>
      </x:c>
      <x:c r="H10" s="15" t="n">
        <x:v>46278.625</x:v>
      </x:c>
      <x:c r="I10" s="11" t="str">
        <x:v>Junto ao Parque da Luz</x:v>
      </x:c>
      <x:c r="J10" s="17" t="str">
        <x:v>https://www.gralhaimoveis.com.br/imovel/venda%2Bapartamento%2B3-quartos%2Bcentro%2Bflorianopolis%2Bsc%2B96m2%2Brs1980000/165139116</x:v>
      </x:c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</x:row>
    <x:row r="11">
      <x:c r="A11" s="16" t="str">
        <x:v>GR-165129246</x:v>
      </x:c>
      <x:c r="B11" s="12" t="n">
        <x:v>1950000</x:v>
      </x:c>
      <x:c r="C11" s="13" t="n">
        <x:v>83</x:v>
      </x:c>
      <x:c r="D11" s="14" t="n">
        <x:v>3</x:v>
      </x:c>
      <x:c r="E11" s="14" t="n">
        <x:v>2</x:v>
      </x:c>
      <x:c r="F11" s="14" t="n">
        <x:v>2</x:v>
      </x:c>
      <x:c r="G11" s="11" t="str">
        <x:v>Gralha Imóveis</x:v>
      </x:c>
      <x:c r="H11" s="15" t="n">
        <x:v>46278.625</x:v>
      </x:c>
      <x:c r="I11" s="11" t="str">
        <x:v>Rua São Jorge</x:v>
      </x:c>
      <x:c r="J11" s="17" t="str">
        <x:v>https://www.gralhaimoveis.com.br/imovel/venda%2Bapartamento%2B3-quartos%2Bcentro%2Bflorianopolis%2Bsc%2B83m2%2Brs1950000/165129246</x:v>
      </x:c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</x:row>
    <x:row r="12">
      <x:c r="A12" s="16" t="str">
        <x:v>GR-36062</x:v>
      </x:c>
      <x:c r="B12" s="12" t="n">
        <x:v>2460000</x:v>
      </x:c>
      <x:c r="C12" s="13" t="n">
        <x:v>112</x:v>
      </x:c>
      <x:c r="D12" s="14" t="n">
        <x:v>2</x:v>
      </x:c>
      <x:c r="E12" s="14" t="n">
        <x:v>2</x:v>
      </x:c>
      <x:c r="F12" s="14" t="n">
        <x:v>3</x:v>
      </x:c>
      <x:c r="G12" s="11" t="str">
        <x:v>Gralha Imóveis</x:v>
      </x:c>
      <x:c r="H12" s="15" t="n">
        <x:v>46278.625</x:v>
      </x:c>
      <x:c r="I12" s="11" t="str">
        <x:v>Rua Desembargador Arno Hoeschl</x:v>
      </x:c>
      <x:c r="J12" s="17" t="str">
        <x:v>https://www.gralhaimoveis.com.br/imovel/venda%2Bapartamento%2B2-quartos%2Bcentro%2Bflorianopolis%2Bsc%2B112m2%2Brs2460000/165133778</x:v>
      </x:c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</x:row>
    <x:row r="13">
      <x:c r="A13" s="16" t="str">
        <x:v>A01</x:v>
      </x:c>
      <x:c r="B13" s="12" t="n">
        <x:v>1649000</x:v>
      </x:c>
      <x:c r="C13" s="13" t="n">
        <x:v>113</x:v>
      </x:c>
      <x:c r="D13" s="14" t="n">
        <x:v>3</x:v>
      </x:c>
      <x:c r="E13" s="14" t="n">
        <x:v>2</x:v>
      </x:c>
      <x:c r="F13" s="14" t="n">
        <x:v>1</x:v>
      </x:c>
      <x:c r="G13" s="11" t="str">
        <x:v>Imovelweb</x:v>
      </x:c>
      <x:c r="H13" s="15" t="n">
        <x:v>46278.625</x:v>
      </x:c>
      <x:c r="I13" s="11" t="str">
        <x:v>Rua Presidente Coutinho, Centro, Florianópolis</x:v>
      </x:c>
      <x:c r="J13" s="17" t="str">
        <x:v>https://www.imovelweb.com.br/propriedades/apartamento-3-dormitorios-113.45-m-em-centro-3012983266.html</x:v>
      </x:c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</x:row>
    <x:row r="14">
      <x:c r="A14" s="16" t="str">
        <x:v>A02</x:v>
      </x:c>
      <x:c r="B14" s="12" t="n">
        <x:v>1600000</x:v>
      </x:c>
      <x:c r="C14" s="13" t="n">
        <x:v>69</x:v>
      </x:c>
      <x:c r="D14" s="14" t="n">
        <x:v>2</x:v>
      </x:c>
      <x:c r="E14" s="14" t="n">
        <x:v>2</x:v>
      </x:c>
      <x:c r="F14" s="14" t="n">
        <x:v>3</x:v>
      </x:c>
      <x:c r="G14" s="11" t="str">
        <x:v>Imovelweb</x:v>
      </x:c>
      <x:c r="H14" s="15" t="n">
        <x:v>46278.625</x:v>
      </x:c>
      <x:c r="I14" s="11" t="str">
        <x:v>Avenida Hercílio Luz 901, Centro, Florianópolis</x:v>
      </x:c>
      <x:c r="J14" s="17" t="str">
        <x:v>https://www.imovelweb.com.br/propriedades/apartamento-em-centro-florianopolis-sc-de-69m-2-3044142600.html</x:v>
      </x:c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</x:row>
    <x:row r="15">
      <x:c r="A15" s="16" t="str">
        <x:v>A03</x:v>
      </x:c>
      <x:c r="B15" s="12" t="n">
        <x:v>720000</x:v>
      </x:c>
      <x:c r="C15" s="13" t="n">
        <x:v>77</x:v>
      </x:c>
      <x:c r="D15" s="14" t="n">
        <x:v>2</x:v>
      </x:c>
      <x:c r="E15" s="14"/>
      <x:c r="F15" s="14" t="n">
        <x:v>2</x:v>
      </x:c>
      <x:c r="G15" s="11" t="str">
        <x:v>Imovelweb</x:v>
      </x:c>
      <x:c r="H15" s="15" t="n">
        <x:v>46278.625</x:v>
      </x:c>
      <x:c r="I15" s="11" t="str">
        <x:v>Rua Santos Dumont 18, Centro, Florianópolis</x:v>
      </x:c>
      <x:c r="J15" s="17" t="str">
        <x:v>https://www.imovelweb.com.br/propriedades/apartamento-em-centro-florianopolis-sc-de-77m-2-3018177678.html</x:v>
      </x:c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</x:row>
    <x:row r="16">
      <x:c r="A16" s="16" t="str">
        <x:v>A04</x:v>
      </x:c>
      <x:c r="B16" s="12" t="n">
        <x:v>724000</x:v>
      </x:c>
      <x:c r="C16" s="13" t="n">
        <x:v>89</x:v>
      </x:c>
      <x:c r="D16" s="14" t="n">
        <x:v>3</x:v>
      </x:c>
      <x:c r="E16" s="14" t="n">
        <x:v>1</x:v>
      </x:c>
      <x:c r="F16" s="14" t="n">
        <x:v>2</x:v>
      </x:c>
      <x:c r="G16" s="11" t="str">
        <x:v>Imovelweb</x:v>
      </x:c>
      <x:c r="H16" s="15" t="n">
        <x:v>46278.625</x:v>
      </x:c>
      <x:c r="I16" s="11" t="str">
        <x:v>Praça Olívio Amorim, 112, Centro, Florianópolis</x:v>
      </x:c>
      <x:c r="J16" s="17" t="str">
        <x:v>https://www.imovelweb.com.br/propriedades/apartamento-3-dormitorios-89-m-em-centro-3021908925.html</x:v>
      </x:c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</x:row>
    <x:row r="17">
      <x:c r="A17" s="16" t="str">
        <x:v>A05</x:v>
      </x:c>
      <x:c r="B17" s="12" t="n">
        <x:v>720000</x:v>
      </x:c>
      <x:c r="C17" s="13" t="n">
        <x:v>76</x:v>
      </x:c>
      <x:c r="D17" s="14" t="n">
        <x:v>2</x:v>
      </x:c>
      <x:c r="E17" s="14"/>
      <x:c r="F17" s="14" t="n">
        <x:v>2</x:v>
      </x:c>
      <x:c r="G17" s="11" t="str">
        <x:v>Imovelweb</x:v>
      </x:c>
      <x:c r="H17" s="15" t="n">
        <x:v>46278.625</x:v>
      </x:c>
      <x:c r="I17" s="11" t="str">
        <x:v>Praça Pereira Oliveira, 19, Centro, Florianópolis</x:v>
      </x:c>
      <x:c r="J17" s="17" t="str">
        <x:v>https://www.imovelweb.com.br/propriedades/2-dormitorios-sendo-suite-no-centro-com-otima-posicao-3017874554.html</x:v>
      </x:c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</x:row>
    <x:row r="18">
      <x:c r="A18" s="16" t="str">
        <x:v>A08</x:v>
      </x:c>
      <x:c r="B18" s="12" t="n">
        <x:v>750000</x:v>
      </x:c>
      <x:c r="C18" s="13" t="n">
        <x:v>78.79</x:v>
      </x:c>
      <x:c r="D18" s="14" t="n">
        <x:v>2</x:v>
      </x:c>
      <x:c r="E18" s="14" t="n">
        <x:v>1</x:v>
      </x:c>
      <x:c r="F18" s="14" t="n">
        <x:v>2</x:v>
      </x:c>
      <x:c r="G18" s="11" t="str">
        <x:v>Imovelweb</x:v>
      </x:c>
      <x:c r="H18" s="15" t="n">
        <x:v>46278.625</x:v>
      </x:c>
      <x:c r="I18" s="11" t="str">
        <x:v>Padre Roma, 304, Centro, Florianópolis</x:v>
      </x:c>
      <x:c r="J18" s="17" t="str">
        <x:v>https://www.imovelweb.com.br/propriedades/apartamento-2-quartos-a-venda-no-centro-em-3033346056.html</x:v>
      </x:c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</x:row>
    <x:row r="19">
      <x:c r="A19" s="16" t="str">
        <x:v>A13</x:v>
      </x:c>
      <x:c r="B19" s="12" t="n">
        <x:v>1870000</x:v>
      </x:c>
      <x:c r="C19" s="13" t="n">
        <x:v>94</x:v>
      </x:c>
      <x:c r="D19" s="14" t="n">
        <x:v>3</x:v>
      </x:c>
      <x:c r="E19" s="14" t="n">
        <x:v>2</x:v>
      </x:c>
      <x:c r="F19" s="14" t="n">
        <x:v>3</x:v>
      </x:c>
      <x:c r="G19" s="11" t="str">
        <x:v>Imovelweb</x:v>
      </x:c>
      <x:c r="H19" s="15" t="n">
        <x:v>46278.625</x:v>
      </x:c>
      <x:c r="I19" s="11" t="str">
        <x:v>Rua Felipe Schmidt 1012, Centro, Florianópolis</x:v>
      </x:c>
      <x:c r="J19" s="17" t="str">
        <x:v>https://www.imovelweb.com.br/propriedades/centro-apartamento-3-quartos-1-suite-3010175667.html</x:v>
      </x:c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</x:row>
    <x:row r="20">
      <x:c r="A20" s="16" t="str">
        <x:v>AUX-762228</x:v>
      </x:c>
      <x:c r="B20" s="12" t="n">
        <x:v>785000</x:v>
      </x:c>
      <x:c r="C20" s="13" t="n">
        <x:v>60</x:v>
      </x:c>
      <x:c r="D20" s="14" t="n">
        <x:v>2</x:v>
      </x:c>
      <x:c r="E20" s="14" t="n">
        <x:v>1</x:v>
      </x:c>
      <x:c r="F20" s="14" t="n">
        <x:v>2</x:v>
      </x:c>
      <x:c r="G20" s="11" t="str">
        <x:v>Auxiliadora Predial</x:v>
      </x:c>
      <x:c r="H20" s="15" t="n">
        <x:v>46278.625</x:v>
      </x:c>
      <x:c r="I20" s="11" t="str">
        <x:v>Rua Ferreira Lima, Centro, Florianópolis</x:v>
      </x:c>
      <x:c r="J20" s="17" t="str">
        <x:v>https://www.auxiliadorapredial.com.br/imovel/venda/762228</x:v>
      </x:c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</x:row>
    <x:row r="21">
      <x:c r="A21" s="16" t="str">
        <x:v>AUX-839613</x:v>
      </x:c>
      <x:c r="B21" s="12" t="n">
        <x:v>720000</x:v>
      </x:c>
      <x:c r="C21" s="13" t="n">
        <x:v>68</x:v>
      </x:c>
      <x:c r="D21" s="14" t="n">
        <x:v>2</x:v>
      </x:c>
      <x:c r="E21" s="14" t="n">
        <x:v>1</x:v>
      </x:c>
      <x:c r="F21" s="14" t="n">
        <x:v>1</x:v>
      </x:c>
      <x:c r="G21" s="11" t="str">
        <x:v>Auxiliadora Predial</x:v>
      </x:c>
      <x:c r="H21" s="15" t="n">
        <x:v>46278.625</x:v>
      </x:c>
      <x:c r="I21" s="11" t="str">
        <x:v>Avenida Hercílio Luz, Centro, Florianópolis</x:v>
      </x:c>
      <x:c r="J21" s="17" t="str">
        <x:v>https://www.auxiliadorapredial.com.br/imovel/venda/839613</x:v>
      </x:c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</x:row>
    <x:row r="22">
      <x:c r="A22" s="16" t="str">
        <x:v>AUX-703211</x:v>
      </x:c>
      <x:c r="B22" s="12" t="n">
        <x:v>750000</x:v>
      </x:c>
      <x:c r="C22" s="13" t="n">
        <x:v>61.96</x:v>
      </x:c>
      <x:c r="D22" s="14" t="n">
        <x:v>2</x:v>
      </x:c>
      <x:c r="E22" s="14"/>
      <x:c r="F22" s="14" t="n">
        <x:v>1</x:v>
      </x:c>
      <x:c r="G22" s="11" t="str">
        <x:v>Auxiliadora Predial</x:v>
      </x:c>
      <x:c r="H22" s="15" t="n">
        <x:v>46278.625</x:v>
      </x:c>
      <x:c r="I22" s="11" t="str">
        <x:v>Rua Tenente Silveira, Centro, Florianópolis</x:v>
      </x:c>
      <x:c r="J22" s="17" t="str">
        <x:v>https://www.auxiliadorapredial.com.br/imovel/venda/703211/apartamento-sc%2Bflorianopolis%2Bcentro</x:v>
      </x:c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</x:row>
    <x:row r="23">
      <x:c r="A23" s="16" t="str">
        <x:v>AUX-784794</x:v>
      </x:c>
      <x:c r="B23" s="12" t="n">
        <x:v>1390000</x:v>
      </x:c>
      <x:c r="C23" s="13" t="n">
        <x:v>87</x:v>
      </x:c>
      <x:c r="D23" s="14" t="n">
        <x:v>3</x:v>
      </x:c>
      <x:c r="E23" s="14" t="n">
        <x:v>2</x:v>
      </x:c>
      <x:c r="F23" s="14" t="n">
        <x:v>2</x:v>
      </x:c>
      <x:c r="G23" s="11" t="str">
        <x:v>Auxiliadora Predial</x:v>
      </x:c>
      <x:c r="H23" s="15" t="n">
        <x:v>46278.625</x:v>
      </x:c>
      <x:c r="I23" s="11" t="str">
        <x:v>Rua Professor Herminio Jacques, Centro, Florianópolis</x:v>
      </x:c>
      <x:c r="J23" s="17" t="str">
        <x:v>https://www.auxiliadorapredial.com.br/imovel/venda/784794/apartamento-centro-florianopolis-santa-catarina</x:v>
      </x:c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</x:row>
    <x:row r="24">
      <x:c r="A24" s="16" t="str">
        <x:v>AUX-688638</x:v>
      </x:c>
      <x:c r="B24" s="12" t="n">
        <x:v>789000</x:v>
      </x:c>
      <x:c r="C24" s="13" t="n">
        <x:v>69</x:v>
      </x:c>
      <x:c r="D24" s="14" t="n">
        <x:v>2</x:v>
      </x:c>
      <x:c r="E24" s="14" t="n">
        <x:v>1</x:v>
      </x:c>
      <x:c r="F24" s="14" t="n">
        <x:v>1</x:v>
      </x:c>
      <x:c r="G24" s="11" t="str">
        <x:v>Auxiliadora Predial</x:v>
      </x:c>
      <x:c r="H24" s="15" t="n">
        <x:v>46278.625</x:v>
      </x:c>
      <x:c r="I24" s="11" t="str">
        <x:v>Rua Tenente Silveira, Centro, Florianópolis</x:v>
      </x:c>
      <x:c r="J24" s="17" t="str">
        <x:v>https://www.auxiliadorapredial.com.br/imovel/venda/688638/apartamento-sc%2Bflorianopolis%2Bcentro</x:v>
      </x:c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</x:row>
    <x:row r="25">
      <x:c r="A25" s="16" t="str">
        <x:v>AUX-351654</x:v>
      </x:c>
      <x:c r="B25" s="12" t="n">
        <x:v>945000</x:v>
      </x:c>
      <x:c r="C25" s="13" t="n">
        <x:v>103</x:v>
      </x:c>
      <x:c r="D25" s="14" t="n">
        <x:v>3</x:v>
      </x:c>
      <x:c r="E25" s="14" t="n">
        <x:v>1</x:v>
      </x:c>
      <x:c r="F25" s="14" t="n">
        <x:v>4</x:v>
      </x:c>
      <x:c r="G25" s="11" t="str">
        <x:v>Auxiliadora Predial</x:v>
      </x:c>
      <x:c r="H25" s="15" t="n">
        <x:v>46278.625</x:v>
      </x:c>
      <x:c r="I25" s="11" t="str">
        <x:v>Avenida Mauro Ramos, Centro, Florianópolis</x:v>
      </x:c>
      <x:c r="J25" s="17" t="str">
        <x:v>https://www.auxiliadorapredial.com.br/imovel/venda/351654/apartamento-sc%2Bflorianopolis%2Bcentro</x:v>
      </x:c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</x:row>
    <x:row r="26">
      <x:c r="A26" s="16" t="str">
        <x:v>AUX-590694</x:v>
      </x:c>
      <x:c r="B26" s="12" t="n">
        <x:v>758800</x:v>
      </x:c>
      <x:c r="C26" s="13" t="n">
        <x:v>93.69</x:v>
      </x:c>
      <x:c r="D26" s="14" t="n">
        <x:v>3</x:v>
      </x:c>
      <x:c r="E26" s="14"/>
      <x:c r="F26" s="14" t="n">
        <x:v>2</x:v>
      </x:c>
      <x:c r="G26" s="11" t="str">
        <x:v>Auxiliadora Predial</x:v>
      </x:c>
      <x:c r="H26" s="15" t="n">
        <x:v>46278.625</x:v>
      </x:c>
      <x:c r="I26" s="11" t="str">
        <x:v>Avenida Hercílio Luz, Centro, Florianópolis</x:v>
      </x:c>
      <x:c r="J26" s="17" t="str">
        <x:v>https://www.auxiliadorapredial.com.br/imovel/venda/590694/apartamento-centro-florianopolis-santa-catarina</x:v>
      </x:c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</x:row>
    <x:row r="27">
      <x:c r="A27" s="16" t="str">
        <x:v>AUX-771095</x:v>
      </x:c>
      <x:c r="B27" s="12" t="n">
        <x:v>2495000</x:v>
      </x:c>
      <x:c r="C27" s="13" t="n">
        <x:v>142.77</x:v>
      </x:c>
      <x:c r="D27" s="14" t="n">
        <x:v>3</x:v>
      </x:c>
      <x:c r="E27" s="14" t="n">
        <x:v>2</x:v>
      </x:c>
      <x:c r="F27" s="14" t="n">
        <x:v>3</x:v>
      </x:c>
      <x:c r="G27" s="11" t="str">
        <x:v>Auxiliadora Predial</x:v>
      </x:c>
      <x:c r="H27" s="15" t="n">
        <x:v>46278.625</x:v>
      </x:c>
      <x:c r="I27" s="11" t="str">
        <x:v>Alameda Adolfo Konder, Centro, Florianópolis</x:v>
      </x:c>
      <x:c r="J27" s="17" t="str">
        <x:v>https://www.auxiliadorapredial.com.br/imovel/venda/771095/apartamento-sc%2Bflorianopolis%2Bcentro</x:v>
      </x:c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</x:row>
    <x:row r="28">
      <x:c r="A28" s="16" t="str">
        <x:v>AUX-765717</x:v>
      </x:c>
      <x:c r="B28" s="12" t="n">
        <x:v>570000</x:v>
      </x:c>
      <x:c r="C28" s="13" t="n">
        <x:v>70</x:v>
      </x:c>
      <x:c r="D28" s="14" t="n">
        <x:v>2</x:v>
      </x:c>
      <x:c r="E28" s="14" t="n">
        <x:v>1</x:v>
      </x:c>
      <x:c r="F28" s="14" t="n">
        <x:v>2</x:v>
      </x:c>
      <x:c r="G28" s="11" t="str">
        <x:v>Auxiliadora Predial</x:v>
      </x:c>
      <x:c r="H28" s="15" t="n">
        <x:v>46278.625</x:v>
      </x:c>
      <x:c r="I28" s="11" t="str">
        <x:v>Avenida Mauro Ramos, Centro, Florianópolis</x:v>
      </x:c>
      <x:c r="J28" s="17" t="str">
        <x:v>https://www.auxiliadorapredial.com.br/imovel/venda/765717/apartamento-sc%2Bflorianopolis%2Bcentro</x:v>
      </x:c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</x:row>
    <x:row r="29">
      <x:c r="A29" s="16" t="str">
        <x:v>AUX-637301</x:v>
      </x:c>
      <x:c r="B29" s="12" t="n">
        <x:v>955000</x:v>
      </x:c>
      <x:c r="C29" s="13" t="n">
        <x:v>122</x:v>
      </x:c>
      <x:c r="D29" s="14" t="n">
        <x:v>3</x:v>
      </x:c>
      <x:c r="E29" s="14" t="n">
        <x:v>1</x:v>
      </x:c>
      <x:c r="F29" s="14" t="n">
        <x:v>3</x:v>
      </x:c>
      <x:c r="G29" s="11" t="str">
        <x:v>Auxiliadora Predial</x:v>
      </x:c>
      <x:c r="H29" s="15" t="n">
        <x:v>46278.625</x:v>
      </x:c>
      <x:c r="I29" s="11" t="str">
        <x:v>Rua Tenente Silveira, Centro, Florianópolis</x:v>
      </x:c>
      <x:c r="J29" s="17" t="str">
        <x:v>https://www.auxiliadorapredial.com.br/imovel/venda/637301/apartamento-centro-florianopolis-santa-catarina</x:v>
      </x:c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</x:row>
    <x:row r="30">
      <x:c r="A30" s="16" t="str">
        <x:v>AUX-772119</x:v>
      </x:c>
      <x:c r="B30" s="12" t="n">
        <x:v>690000</x:v>
      </x:c>
      <x:c r="C30" s="13" t="n">
        <x:v>80</x:v>
      </x:c>
      <x:c r="D30" s="14" t="n">
        <x:v>2</x:v>
      </x:c>
      <x:c r="E30" s="14" t="n">
        <x:v>1</x:v>
      </x:c>
      <x:c r="F30" s="14" t="n">
        <x:v>2</x:v>
      </x:c>
      <x:c r="G30" s="11" t="str">
        <x:v>Auxiliadora Predial</x:v>
      </x:c>
      <x:c r="H30" s="15" t="n">
        <x:v>46278.625</x:v>
      </x:c>
      <x:c r="I30" s="11" t="str">
        <x:v>Rua Araújo Figueiredo, Centro, Florianópolis</x:v>
      </x:c>
      <x:c r="J30" s="17" t="str">
        <x:v>https://www.auxiliadorapredial.com.br/imovel/venda/772119/apartamento-sc%2Bflorianopolis%2Bcentro</x:v>
      </x:c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</x:row>
    <x:row r="31">
      <x:c r="A31" s="16" t="str">
        <x:v>AUX-414772</x:v>
      </x:c>
      <x:c r="B31" s="12" t="n">
        <x:v>2630000</x:v>
      </x:c>
      <x:c r="C31" s="13" t="n">
        <x:v>119</x:v>
      </x:c>
      <x:c r="D31" s="14" t="n">
        <x:v>3</x:v>
      </x:c>
      <x:c r="E31" s="14" t="n">
        <x:v>3</x:v>
      </x:c>
      <x:c r="F31" s="14" t="n">
        <x:v>5</x:v>
      </x:c>
      <x:c r="G31" s="11" t="str">
        <x:v>Auxiliadora Predial</x:v>
      </x:c>
      <x:c r="H31" s="15" t="n">
        <x:v>46278.625</x:v>
      </x:c>
      <x:c r="I31" s="11" t="str">
        <x:v>Avenida Trompowsky, Centro, Florianópolis</x:v>
      </x:c>
      <x:c r="J31" s="17" t="str">
        <x:v>https://www.auxiliadorapredial.com.br/imovel/venda/414772/apartamento-sc%2Bflorianopolis%2Bcentro</x:v>
      </x:c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</x:row>
    <x:row r="32">
      <x:c r="A32" s="16" t="str">
        <x:v>AUX-750337</x:v>
      </x:c>
      <x:c r="B32" s="12" t="n">
        <x:v>4300000</x:v>
      </x:c>
      <x:c r="C32" s="13" t="n">
        <x:v>138.92</x:v>
      </x:c>
      <x:c r="D32" s="14" t="n">
        <x:v>3</x:v>
      </x:c>
      <x:c r="E32" s="14" t="n">
        <x:v>2</x:v>
      </x:c>
      <x:c r="F32" s="14" t="n">
        <x:v>4</x:v>
      </x:c>
      <x:c r="G32" s="11" t="str">
        <x:v>Auxiliadora Predial</x:v>
      </x:c>
      <x:c r="H32" s="15" t="n">
        <x:v>46278.625</x:v>
      </x:c>
      <x:c r="I32" s="11" t="str">
        <x:v>Rua Desembargador Arno Hoeschl, Centro, Florianópolis</x:v>
      </x:c>
      <x:c r="J32" s="17" t="str">
        <x:v>https://www.auxiliadorapredial.com.br/imovel/venda/750337/apartamento-sc%2Bflorianopolis%2Bcentro</x:v>
      </x:c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</x:row>
    <x:row r="33">
      <x:c r="A33" s="16" t="str">
        <x:v>AUX-761322</x:v>
      </x:c>
      <x:c r="B33" s="12" t="n">
        <x:v>895000</x:v>
      </x:c>
      <x:c r="C33" s="13" t="n">
        <x:v>93.69</x:v>
      </x:c>
      <x:c r="D33" s="14" t="n">
        <x:v>3</x:v>
      </x:c>
      <x:c r="E33" s="14" t="n">
        <x:v>1</x:v>
      </x:c>
      <x:c r="F33" s="14" t="n">
        <x:v>3</x:v>
      </x:c>
      <x:c r="G33" s="11" t="str">
        <x:v>Auxiliadora Predial</x:v>
      </x:c>
      <x:c r="H33" s="15" t="n">
        <x:v>46278.625</x:v>
      </x:c>
      <x:c r="I33" s="11" t="str">
        <x:v>Avenida Hercílio Luz, Centro, Florianópolis</x:v>
      </x:c>
      <x:c r="J33" s="17" t="str">
        <x:v>https://www.auxiliadorapredial.com.br/imovel/venda/761322/apartamento-sc%2Bflorianopolis%2Bcentro</x:v>
      </x:c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</x:row>
    <x:row r="34">
      <x:c r="A34" s="16" t="str">
        <x:v>AUX-689273</x:v>
      </x:c>
      <x:c r="B34" s="12" t="n">
        <x:v>3850000</x:v>
      </x:c>
      <x:c r="C34" s="13" t="n">
        <x:v>131</x:v>
      </x:c>
      <x:c r="D34" s="14" t="n">
        <x:v>3</x:v>
      </x:c>
      <x:c r="E34" s="14" t="n">
        <x:v>2</x:v>
      </x:c>
      <x:c r="F34" s="14" t="n">
        <x:v>5</x:v>
      </x:c>
      <x:c r="G34" s="11" t="str">
        <x:v>Auxiliadora Predial</x:v>
      </x:c>
      <x:c r="H34" s="15" t="n">
        <x:v>46278.625</x:v>
      </x:c>
      <x:c r="I34" s="11" t="str">
        <x:v>Rua Comandante Constantino Nicolau Spyrides, Centro, Florianópolis</x:v>
      </x:c>
      <x:c r="J34" s="17" t="str">
        <x:v>https://www.auxiliadorapredial.com.br/imovel/venda/689273/apartamento-sc%2Bflorianopolis%2Bcentro</x:v>
      </x:c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</x:row>
    <x:row r="35">
      <x:c r="A35" s="16" t="str">
        <x:v>AUX-743708</x:v>
      </x:c>
      <x:c r="B35" s="12" t="n">
        <x:v>730000</x:v>
      </x:c>
      <x:c r="C35" s="13" t="n">
        <x:v>113</x:v>
      </x:c>
      <x:c r="D35" s="14" t="n">
        <x:v>3</x:v>
      </x:c>
      <x:c r="E35" s="14"/>
      <x:c r="F35" s="14" t="n">
        <x:v>1</x:v>
      </x:c>
      <x:c r="G35" s="11" t="str">
        <x:v>Auxiliadora Predial</x:v>
      </x:c>
      <x:c r="H35" s="15" t="n">
        <x:v>46278.625</x:v>
      </x:c>
      <x:c r="I35" s="11" t="str">
        <x:v>Avenida Hercílio Luz, Centro, Florianópolis</x:v>
      </x:c>
      <x:c r="J35" s="17" t="str">
        <x:v>https://www.auxiliadorapredial.com.br/imovel/venda/743708/apartamento-sc%2Bflorianopolis%2Bcentro</x:v>
      </x:c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</x:row>
    <x:row r="36">
      <x:c r="A36" s="16" t="str">
        <x:v>AUX-776036</x:v>
      </x:c>
      <x:c r="B36" s="12" t="n">
        <x:v>599000</x:v>
      </x:c>
      <x:c r="C36" s="13" t="n">
        <x:v>64</x:v>
      </x:c>
      <x:c r="D36" s="14" t="n">
        <x:v>3</x:v>
      </x:c>
      <x:c r="E36" s="14" t="n">
        <x:v>1</x:v>
      </x:c>
      <x:c r="F36" s="14" t="n">
        <x:v>1</x:v>
      </x:c>
      <x:c r="G36" s="11" t="str">
        <x:v>Auxiliadora Predial</x:v>
      </x:c>
      <x:c r="H36" s="15" t="n">
        <x:v>46278.625</x:v>
      </x:c>
      <x:c r="I36" s="11" t="str">
        <x:v>Avenida Mauro Ramos, Centro, Florianópolis</x:v>
      </x:c>
      <x:c r="J36" s="17" t="str">
        <x:v>https://www.auxiliadorapredial.com.br/imovel/venda/776036/apartamento-sc%2Bflorianopolis%2Bcentro</x:v>
      </x:c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</x:row>
    <x:row r="37">
      <x:c r="A37" s="16" t="str">
        <x:v>BRO-58236</x:v>
      </x:c>
      <x:c r="B37" s="12" t="n">
        <x:v>1490000</x:v>
      </x:c>
      <x:c r="C37" s="13" t="n">
        <x:v>78</x:v>
      </x:c>
      <x:c r="D37" s="14" t="n">
        <x:v>3</x:v>
      </x:c>
      <x:c r="E37" s="14" t="n">
        <x:v>1</x:v>
      </x:c>
      <x:c r="F37" s="14" t="n">
        <x:v>2</x:v>
      </x:c>
      <x:c r="G37" s="11" t="str">
        <x:v>Brognoli Imóveis</x:v>
      </x:c>
      <x:c r="H37" s="15" t="n">
        <x:v>46278.625</x:v>
      </x:c>
      <x:c r="I37" s="11" t="str">
        <x:v>Rua Hermann Blumenau, Centro, Florianópolis</x:v>
      </x:c>
      <x:c r="J37" s="17" t="str">
        <x:v>https://www.brognoli.com.br/imovel/comprar-apartamentos-com-78m-3-quartos-no-bairro-centro-em-florianopolis_A32-58236/</x:v>
      </x:c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</x:row>
    <x:row r="38">
      <x:c r="A38" s="16" t="str">
        <x:v>BRO-55121</x:v>
      </x:c>
      <x:c r="B38" s="12" t="n">
        <x:v>1600000</x:v>
      </x:c>
      <x:c r="C38" s="13" t="n">
        <x:v>120</x:v>
      </x:c>
      <x:c r="D38" s="14" t="n">
        <x:v>3</x:v>
      </x:c>
      <x:c r="E38" s="14" t="n">
        <x:v>2</x:v>
      </x:c>
      <x:c r="F38" s="14" t="n">
        <x:v>4</x:v>
      </x:c>
      <x:c r="G38" s="11" t="str">
        <x:v>Brognoli Imóveis</x:v>
      </x:c>
      <x:c r="H38" s="15" t="n">
        <x:v>46278.625</x:v>
      </x:c>
      <x:c r="I38" s="11" t="str">
        <x:v>Avenida Hercílio Luz, Centro, Florianópolis</x:v>
      </x:c>
      <x:c r="J38" s="17" t="str">
        <x:v>https://www.brognoli.com.br/imovel/comprar-apartamentos-com-120m-3-quartos-no-bairro-centro-em-florianopolis_A50-55121/</x:v>
      </x:c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</x:row>
    <x:row r="39">
      <x:c r="A39" s="16" t="str">
        <x:v>CNM-43086592</x:v>
      </x:c>
      <x:c r="B39" s="12" t="n">
        <x:v>1185000</x:v>
      </x:c>
      <x:c r="C39" s="13" t="n">
        <x:v>69</x:v>
      </x:c>
      <x:c r="D39" s="14" t="n">
        <x:v>2</x:v>
      </x:c>
      <x:c r="E39" s="14" t="n">
        <x:v>1</x:v>
      </x:c>
      <x:c r="F39" s="14" t="n">
        <x:v>1</x:v>
      </x:c>
      <x:c r="G39" s="11" t="str">
        <x:v>Chaves na Mão</x:v>
      </x:c>
      <x:c r="H39" s="15" t="n">
        <x:v>46278.625</x:v>
      </x:c>
      <x:c r="I39" s="11" t="str">
        <x:v>Rua Felipe Schmidt, 1011</x:v>
      </x:c>
      <x:c r="J39" s="17" t="str">
        <x:v>https://www.chavesnamao.com.br/imovel/apartamento-a-venda-2-quartos-com-garagem-sc-florianopolis-centro-89m2-RS1185000/id-43086592/</x:v>
      </x:c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</x:row>
    <x:row r="40">
      <x:c r="A40" s="16" t="str">
        <x:v>CNM-43748129</x:v>
      </x:c>
      <x:c r="B40" s="12" t="n">
        <x:v>936000</x:v>
      </x:c>
      <x:c r="C40" s="13" t="n">
        <x:v>104</x:v>
      </x:c>
      <x:c r="D40" s="14" t="n">
        <x:v>3</x:v>
      </x:c>
      <x:c r="E40" s="14" t="n">
        <x:v>1</x:v>
      </x:c>
      <x:c r="F40" s="14" t="n">
        <x:v>2</x:v>
      </x:c>
      <x:c r="G40" s="11" t="str">
        <x:v>Chaves na Mão</x:v>
      </x:c>
      <x:c r="H40" s="15" t="n">
        <x:v>46278.625</x:v>
      </x:c>
      <x:c r="I40" s="11" t="str">
        <x:v>Avenida Mauro Ramos</x:v>
      </x:c>
      <x:c r="J40" s="17" t="str">
        <x:v>https://www.chavesnamao.com.br/imovel/apartamento-a-venda-3-quartos-com-garagem-sc-florianopolis-centro-146m2-RS936000/id-43748129/</x:v>
      </x:c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</x:row>
    <x:row r="41">
      <x:c r="A41" s="16" t="str">
        <x:v>CNM-44685787</x:v>
      </x:c>
      <x:c r="B41" s="12" t="n">
        <x:v>780000</x:v>
      </x:c>
      <x:c r="C41" s="13" t="n">
        <x:v>97</x:v>
      </x:c>
      <x:c r="D41" s="14" t="n">
        <x:v>3</x:v>
      </x:c>
      <x:c r="E41" s="14" t="n">
        <x:v>1</x:v>
      </x:c>
      <x:c r="F41" s="14" t="n">
        <x:v>2</x:v>
      </x:c>
      <x:c r="G41" s="11" t="str">
        <x:v>Chaves na Mão</x:v>
      </x:c>
      <x:c r="H41" s="15" t="n">
        <x:v>46278.625</x:v>
      </x:c>
      <x:c r="I41" s="11" t="str">
        <x:v>Rua Tiradentes</x:v>
      </x:c>
      <x:c r="J41" s="17" t="str">
        <x:v>https://www.chavesnamao.com.br/imovel/apartamento-a-venda-3-quartos-com-garagem-sc-florianopolis-centro-97m2-RS780000/id-44685787/</x:v>
      </x:c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</x:row>
    <x:row r="42">
      <x:c r="A42" s="16" t="str">
        <x:v>CNM-43900926</x:v>
      </x:c>
      <x:c r="B42" s="12" t="n">
        <x:v>1550000</x:v>
      </x:c>
      <x:c r="C42" s="13" t="n">
        <x:v>106</x:v>
      </x:c>
      <x:c r="D42" s="14" t="n">
        <x:v>3</x:v>
      </x:c>
      <x:c r="E42" s="14" t="n">
        <x:v>1</x:v>
      </x:c>
      <x:c r="F42" s="14" t="n">
        <x:v>2</x:v>
      </x:c>
      <x:c r="G42" s="11" t="str">
        <x:v>Chaves na Mão</x:v>
      </x:c>
      <x:c r="H42" s="15" t="n">
        <x:v>46278.625</x:v>
      </x:c>
      <x:c r="I42" s="11" t="str">
        <x:v>Rua Presidente Nereu Ramos, 252</x:v>
      </x:c>
      <x:c r="J42" s="17" t="str">
        <x:v>https://www.chavesnamao.com.br/imovel/apartamento-a-venda-3-quartos-com-garagem-sc-florianopolis-centro-118m2-RS1550000/id-43900926/</x:v>
      </x:c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</x:row>
    <x:row r="43">
      <x:c r="A43" s="16" t="str">
        <x:v>CNM-38697818</x:v>
      </x:c>
      <x:c r="B43" s="12" t="n">
        <x:v>890000</x:v>
      </x:c>
      <x:c r="C43" s="13" t="n">
        <x:v>60</x:v>
      </x:c>
      <x:c r="D43" s="14" t="n">
        <x:v>2</x:v>
      </x:c>
      <x:c r="E43" s="14" t="n">
        <x:v>1</x:v>
      </x:c>
      <x:c r="F43" s="14" t="n">
        <x:v>2</x:v>
      </x:c>
      <x:c r="G43" s="11" t="str">
        <x:v>Chaves na Mão</x:v>
      </x:c>
      <x:c r="H43" s="15" t="n">
        <x:v>46278.625</x:v>
      </x:c>
      <x:c r="I43" s="11" t="str">
        <x:v>Rua São Francisco, 141</x:v>
      </x:c>
      <x:c r="J43" s="17" t="str">
        <x:v>https://www.chavesnamao.com.br/imovel/apartamento-a-venda-2-quartos-com-garagem-sc-florianopolis-centro-106m2-RS890000/id-38697818/</x:v>
      </x:c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</x:row>
    <x:row r="44">
      <x:c r="A44" s="16" t="str">
        <x:v>CNM-40704506</x:v>
      </x:c>
      <x:c r="B44" s="12" t="n">
        <x:v>880000</x:v>
      </x:c>
      <x:c r="C44" s="13" t="n">
        <x:v>104</x:v>
      </x:c>
      <x:c r="D44" s="14" t="n">
        <x:v>3</x:v>
      </x:c>
      <x:c r="E44" s="14" t="n">
        <x:v>1</x:v>
      </x:c>
      <x:c r="F44" s="14" t="n">
        <x:v>2</x:v>
      </x:c>
      <x:c r="G44" s="11" t="str">
        <x:v>Chaves na Mão</x:v>
      </x:c>
      <x:c r="H44" s="15" t="n">
        <x:v>46278.625</x:v>
      </x:c>
      <x:c r="I44" s="11" t="str">
        <x:v>Avenida Mauro Ramos, 135</x:v>
      </x:c>
      <x:c r="J44" s="17" t="str">
        <x:v>https://www.chavesnamao.com.br/imovel/apartamento-a-venda-3-quartos-com-garagem-sc-florianopolis-centro-122m2-RS880000/id-40704506/</x:v>
      </x:c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</x:row>
    <x:row r="45">
      <x:c r="A45" s="16" t="str">
        <x:v>CNM-39013047</x:v>
      </x:c>
      <x:c r="B45" s="12" t="n">
        <x:v>1890000</x:v>
      </x:c>
      <x:c r="C45" s="13" t="n">
        <x:v>73</x:v>
      </x:c>
      <x:c r="D45" s="14" t="n">
        <x:v>2</x:v>
      </x:c>
      <x:c r="E45" s="14" t="n">
        <x:v>1</x:v>
      </x:c>
      <x:c r="F45" s="14" t="n">
        <x:v>2</x:v>
      </x:c>
      <x:c r="G45" s="11" t="str">
        <x:v>Chaves na Mão</x:v>
      </x:c>
      <x:c r="H45" s="15" t="n">
        <x:v>46278.625</x:v>
      </x:c>
      <x:c r="I45" s="11" t="str">
        <x:v>Rua Felipe Schmidt</x:v>
      </x:c>
      <x:c r="J45" s="17" t="str">
        <x:v>https://www.chavesnamao.com.br/imovel/apartamento-a-venda-2-quartos-com-garagem-sc-florianopolis-centro-73m2-RS1890000/id-39013047/</x:v>
      </x:c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</x:row>
    <x:row r="46">
      <x:c r="A46" s="16" t="str">
        <x:v>CNM-39243493</x:v>
      </x:c>
      <x:c r="B46" s="12" t="n">
        <x:v>1100000</x:v>
      </x:c>
      <x:c r="C46" s="13" t="n">
        <x:v>68</x:v>
      </x:c>
      <x:c r="D46" s="14" t="n">
        <x:v>2</x:v>
      </x:c>
      <x:c r="E46" s="14" t="n">
        <x:v>2</x:v>
      </x:c>
      <x:c r="F46" s="14" t="n">
        <x:v>2</x:v>
      </x:c>
      <x:c r="G46" s="11" t="str">
        <x:v>Chaves na Mão</x:v>
      </x:c>
      <x:c r="H46" s="15" t="n">
        <x:v>46278.625</x:v>
      </x:c>
      <x:c r="I46" s="11" t="str">
        <x:v>Rua Hermann Blumenau, 111</x:v>
      </x:c>
      <x:c r="J46" s="17" t="str">
        <x:v>https://www.chavesnamao.com.br/imovel/apartamento-a-venda-2-quartos-com-garagem-sc-florianopolis-centro-95m2-RS1100000/id-39243493/</x:v>
      </x:c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</x:row>
    <x:row r="47">
      <x:c r="A47" s="16" t="str">
        <x:v>CNM-41253377</x:v>
      </x:c>
      <x:c r="B47" s="12" t="n">
        <x:v>1600000</x:v>
      </x:c>
      <x:c r="C47" s="13" t="n">
        <x:v>142</x:v>
      </x:c>
      <x:c r="D47" s="14" t="n">
        <x:v>3</x:v>
      </x:c>
      <x:c r="E47" s="14" t="n">
        <x:v>1</x:v>
      </x:c>
      <x:c r="F47" s="14" t="n">
        <x:v>4</x:v>
      </x:c>
      <x:c r="G47" s="11" t="str">
        <x:v>Chaves na Mão</x:v>
      </x:c>
      <x:c r="H47" s="15" t="n">
        <x:v>46278.625</x:v>
      </x:c>
      <x:c r="I47" s="11" t="str">
        <x:v>Rua Alves de Brito, 77</x:v>
      </x:c>
      <x:c r="J47" s="17" t="str">
        <x:v>https://www.chavesnamao.com.br/imovel/apartamento-a-venda-3-quartos-com-garagem-sc-florianopolis-centro-209m2-RS1600000/id-41253377/</x:v>
      </x:c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</x:row>
    <x:row r="48">
      <x:c r="A48" s="16" t="str">
        <x:v>CNM-38664333</x:v>
      </x:c>
      <x:c r="B48" s="12" t="n">
        <x:v>1250000</x:v>
      </x:c>
      <x:c r="C48" s="13" t="n">
        <x:v>60</x:v>
      </x:c>
      <x:c r="D48" s="14" t="n">
        <x:v>2</x:v>
      </x:c>
      <x:c r="E48" s="14" t="n">
        <x:v>1</x:v>
      </x:c>
      <x:c r="F48" s="14" t="n">
        <x:v>2</x:v>
      </x:c>
      <x:c r="G48" s="11" t="str">
        <x:v>Chaves na Mão</x:v>
      </x:c>
      <x:c r="H48" s="15" t="n">
        <x:v>46278.625</x:v>
      </x:c>
      <x:c r="I48" s="11" t="str">
        <x:v>Cruz e Sousa</x:v>
      </x:c>
      <x:c r="J48" s="17" t="str">
        <x:v>https://www.chavesnamao.com.br/imovel/apartamento-a-venda-2-quartos-com-garagem-sc-florianopolis-centro-RS1250000/id-38664333/</x:v>
      </x:c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</x:row>
    <x:row r="49">
      <x:c r="A49" s="16" t="str">
        <x:v>CNM-46339457</x:v>
      </x:c>
      <x:c r="B49" s="12" t="n">
        <x:v>1060000</x:v>
      </x:c>
      <x:c r="C49" s="13" t="n">
        <x:v>65</x:v>
      </x:c>
      <x:c r="D49" s="14" t="n">
        <x:v>2</x:v>
      </x:c>
      <x:c r="E49" s="14"/>
      <x:c r="F49" s="14"/>
      <x:c r="G49" s="11" t="str">
        <x:v>Chaves na Mão</x:v>
      </x:c>
      <x:c r="H49" s="15" t="n">
        <x:v>46278.625</x:v>
      </x:c>
      <x:c r="I49" s="11" t="str">
        <x:v>Avenida Mauro Ramos, 1487</x:v>
      </x:c>
      <x:c r="J49" s="17" t="str">
        <x:v>https://www.chavesnamao.com.br/imovel/apartamento-a-venda-2-quartos-com-garagem-sc-florianopolis-centro-87m2-RS1060000/id-46339457/</x:v>
      </x:c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</x:row>
    <x:row r="50">
      <x:c r="A50" s="16" t="str">
        <x:v>CNM-44059284</x:v>
      </x:c>
      <x:c r="B50" s="12" t="n">
        <x:v>1100000</x:v>
      </x:c>
      <x:c r="C50" s="13" t="n">
        <x:v>74</x:v>
      </x:c>
      <x:c r="D50" s="14" t="n">
        <x:v>2</x:v>
      </x:c>
      <x:c r="E50" s="14" t="n">
        <x:v>1</x:v>
      </x:c>
      <x:c r="F50" s="14" t="n">
        <x:v>2</x:v>
      </x:c>
      <x:c r="G50" s="11" t="str">
        <x:v>Chaves na Mão</x:v>
      </x:c>
      <x:c r="H50" s="15" t="n">
        <x:v>46278.625</x:v>
      </x:c>
      <x:c r="I50" s="11" t="str">
        <x:v>Rua Ângelo La Porta</x:v>
      </x:c>
      <x:c r="J50" s="17" t="str">
        <x:v>https://www.chavesnamao.com.br/imovel/apartamento-a-venda-2-quartos-com-garagem-sc-florianopolis-centro-98m2-RS1100000/id-44059284/</x:v>
      </x:c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</x:row>
    <x:row r="51">
      <x:c r="A51" s="16" t="str">
        <x:v>CNM-37688259</x:v>
      </x:c>
      <x:c r="B51" s="12" t="n">
        <x:v>850000</x:v>
      </x:c>
      <x:c r="C51" s="13" t="n">
        <x:v>72</x:v>
      </x:c>
      <x:c r="D51" s="14" t="n">
        <x:v>2</x:v>
      </x:c>
      <x:c r="E51" s="14" t="n">
        <x:v>1</x:v>
      </x:c>
      <x:c r="F51" s="14" t="n">
        <x:v>2</x:v>
      </x:c>
      <x:c r="G51" s="11" t="str">
        <x:v>Chaves na Mão</x:v>
      </x:c>
      <x:c r="H51" s="15" t="n">
        <x:v>46278.625</x:v>
      </x:c>
      <x:c r="I51" s="11" t="str">
        <x:v>Rua Irmão Joaquim, 114</x:v>
      </x:c>
      <x:c r="J51" s="17" t="str">
        <x:v>https://www.chavesnamao.com.br/imovel/apartamento-a-venda-2-quartos-com-garagem-sc-florianopolis-centro-72m2-RS850000/id-37688259/</x:v>
      </x:c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</x:row>
    <x:row r="52">
      <x:c r="A52" s="16" t="str">
        <x:v>CNM-40083196</x:v>
      </x:c>
      <x:c r="B52" s="12" t="n">
        <x:v>1400000</x:v>
      </x:c>
      <x:c r="C52" s="13" t="n">
        <x:v>75</x:v>
      </x:c>
      <x:c r="D52" s="14" t="n">
        <x:v>2</x:v>
      </x:c>
      <x:c r="E52" s="14" t="n">
        <x:v>2</x:v>
      </x:c>
      <x:c r="F52" s="14" t="n">
        <x:v>1</x:v>
      </x:c>
      <x:c r="G52" s="11" t="str">
        <x:v>Chaves na Mão</x:v>
      </x:c>
      <x:c r="H52" s="15" t="n">
        <x:v>46278.625</x:v>
      </x:c>
      <x:c r="I52" s="11" t="str">
        <x:v>Rua Presidente Coutinho, 376</x:v>
      </x:c>
      <x:c r="J52" s="17" t="str">
        <x:v>https://www.chavesnamao.com.br/imovel/apartamento-a-venda-2-quartos-com-garagem-sc-florianopolis-centro-75m2-RS1400000/id-40083196/</x:v>
      </x:c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</x:row>
    <x:row r="53">
      <x:c r="A53" s="16" t="str">
        <x:v>CNM-45968069</x:v>
      </x:c>
      <x:c r="B53" s="12" t="n">
        <x:v>744000</x:v>
      </x:c>
      <x:c r="C53" s="13" t="n">
        <x:v>61</x:v>
      </x:c>
      <x:c r="D53" s="14" t="n">
        <x:v>2</x:v>
      </x:c>
      <x:c r="E53" s="14" t="n">
        <x:v>1</x:v>
      </x:c>
      <x:c r="F53" s="14" t="n">
        <x:v>1</x:v>
      </x:c>
      <x:c r="G53" s="11" t="str">
        <x:v>Chaves na Mão</x:v>
      </x:c>
      <x:c r="H53" s="15" t="n">
        <x:v>46278.625</x:v>
      </x:c>
      <x:c r="I53" s="11" t="str">
        <x:v>Rua Major Costa, 118</x:v>
      </x:c>
      <x:c r="J53" s="17" t="str">
        <x:v>https://www.chavesnamao.com.br/imovel/apartamento-a-venda-2-quartos-com-garagem-sc-florianopolis-centro-RS744000/id-45968069/</x:v>
      </x:c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</x:row>
    <x:row r="54">
      <x:c r="A54" s="16" t="str">
        <x:v>CNM-42507972</x:v>
      </x:c>
      <x:c r="B54" s="12" t="n">
        <x:v>1700000</x:v>
      </x:c>
      <x:c r="C54" s="13" t="n">
        <x:v>75</x:v>
      </x:c>
      <x:c r="D54" s="14" t="n">
        <x:v>2</x:v>
      </x:c>
      <x:c r="E54" s="14" t="n">
        <x:v>2</x:v>
      </x:c>
      <x:c r="F54" s="14" t="n">
        <x:v>2</x:v>
      </x:c>
      <x:c r="G54" s="11" t="str">
        <x:v>Chaves na Mão</x:v>
      </x:c>
      <x:c r="H54" s="15" t="n">
        <x:v>46278.625</x:v>
      </x:c>
      <x:c r="I54" s="11" t="str">
        <x:v>Avenida Mauro Ramos, 1502</x:v>
      </x:c>
      <x:c r="J54" s="17" t="str">
        <x:v>https://www.chavesnamao.com.br/imovel/apartamento-a-venda-2-quartos-com-garagem-sc-florianopolis-centro-100m2-RS1700000/id-42507972/</x:v>
      </x:c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</x:row>
    <x:row r="55">
      <x:c r="A55" s="16" t="str">
        <x:v>CNM-44257369</x:v>
      </x:c>
      <x:c r="B55" s="12" t="n">
        <x:v>590000</x:v>
      </x:c>
      <x:c r="C55" s="13" t="n">
        <x:v>113</x:v>
      </x:c>
      <x:c r="D55" s="14" t="n">
        <x:v>2</x:v>
      </x:c>
      <x:c r="E55" s="14" t="n">
        <x:v>0</x:v>
      </x:c>
      <x:c r="F55" s="14" t="n">
        <x:v>2</x:v>
      </x:c>
      <x:c r="G55" s="11" t="str">
        <x:v>Chaves na Mão</x:v>
      </x:c>
      <x:c r="H55" s="15" t="n">
        <x:v>46278.625</x:v>
      </x:c>
      <x:c r="I55" s="11" t="str">
        <x:v>Rua Felipe Schmidt, 583</x:v>
      </x:c>
      <x:c r="J55" s="17" t="str">
        <x:v>https://www.chavesnamao.com.br/imovel/apartamento-a-venda-2-quartos-sc-florianopolis-centro-113m2-RS590000/id-44257369/</x:v>
      </x:c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</x:row>
    <x:row r="56">
      <x:c r="A56" s="16" t="str">
        <x:v>CNM-35072430</x:v>
      </x:c>
      <x:c r="B56" s="12" t="n">
        <x:v>729000</x:v>
      </x:c>
      <x:c r="C56" s="13" t="n">
        <x:v>80</x:v>
      </x:c>
      <x:c r="D56" s="14" t="n">
        <x:v>2</x:v>
      </x:c>
      <x:c r="E56" s="14" t="n">
        <x:v>1</x:v>
      </x:c>
      <x:c r="F56" s="14" t="n">
        <x:v>2</x:v>
      </x:c>
      <x:c r="G56" s="11" t="str">
        <x:v>Chaves na Mão</x:v>
      </x:c>
      <x:c r="H56" s="15" t="n">
        <x:v>46278.625</x:v>
      </x:c>
      <x:c r="I56" s="11" t="str">
        <x:v>Avenida Mauro Ramos</x:v>
      </x:c>
      <x:c r="J56" s="17" t="str">
        <x:v>https://www.chavesnamao.com.br/imovel/apartamento-a-venda-2-quartos-com-garagem-sc-florianopolis-centro-103m2-RS729000/id-35072430/</x:v>
      </x:c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</x:row>
    <x:row r="57">
      <x:c r="A57" s="16" t="str">
        <x:v>CNM-42678534</x:v>
      </x:c>
      <x:c r="B57" s="12" t="n">
        <x:v>750000</x:v>
      </x:c>
      <x:c r="C57" s="13" t="n">
        <x:v>79</x:v>
      </x:c>
      <x:c r="D57" s="14" t="n">
        <x:v>2</x:v>
      </x:c>
      <x:c r="E57" s="14" t="n">
        <x:v>1</x:v>
      </x:c>
      <x:c r="F57" s="14"/>
      <x:c r="G57" s="11" t="str">
        <x:v>Chaves na Mão</x:v>
      </x:c>
      <x:c r="H57" s="15" t="n">
        <x:v>46278.625</x:v>
      </x:c>
      <x:c r="I57" s="11" t="str">
        <x:v>Rua Padre Roma, 241</x:v>
      </x:c>
      <x:c r="J57" s="17" t="str">
        <x:v>https://www.chavesnamao.com.br/imovel/apartamento-a-venda-2-quartos-com-garagem-sc-florianopolis-centro-94m2-RS750000/id-42678534/</x:v>
      </x:c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</x:row>
    <x:row r="58">
      <x:c r="A58" s="16" t="str">
        <x:v>CNM-38502377</x:v>
      </x:c>
      <x:c r="B58" s="12" t="n">
        <x:v>1325000</x:v>
      </x:c>
      <x:c r="C58" s="13" t="n">
        <x:v>67</x:v>
      </x:c>
      <x:c r="D58" s="14" t="n">
        <x:v>2</x:v>
      </x:c>
      <x:c r="E58" s="14" t="n">
        <x:v>1</x:v>
      </x:c>
      <x:c r="F58" s="14" t="n">
        <x:v>2</x:v>
      </x:c>
      <x:c r="G58" s="11" t="str">
        <x:v>Chaves na Mão</x:v>
      </x:c>
      <x:c r="H58" s="15" t="n">
        <x:v>46278.625</x:v>
      </x:c>
      <x:c r="I58" s="11" t="str">
        <x:v>Rua Hermann Blumenau</x:v>
      </x:c>
      <x:c r="J58" s="17" t="str">
        <x:v>https://www.chavesnamao.com.br/imovel/apartamento-a-venda-2-quartos-com-garagem-sc-florianopolis-centro-93m2-RS1325000/id-38502377/</x:v>
      </x:c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</x:row>
    <x:row r="59">
      <x:c r="A59" s="16" t="str">
        <x:v>CNM-45092268</x:v>
      </x:c>
      <x:c r="B59" s="12" t="n">
        <x:v>1550000</x:v>
      </x:c>
      <x:c r="C59" s="13" t="n">
        <x:v>80</x:v>
      </x:c>
      <x:c r="D59" s="14" t="n">
        <x:v>2</x:v>
      </x:c>
      <x:c r="E59" s="14" t="n">
        <x:v>2</x:v>
      </x:c>
      <x:c r="F59" s="14" t="n">
        <x:v>2</x:v>
      </x:c>
      <x:c r="G59" s="11" t="str">
        <x:v>Chaves na Mão</x:v>
      </x:c>
      <x:c r="H59" s="15" t="n">
        <x:v>46278.625</x:v>
      </x:c>
      <x:c r="I59" s="11" t="str">
        <x:v>Rua Brigadeiro Silva Paes</x:v>
      </x:c>
      <x:c r="J59" s="17" t="str">
        <x:v>https://www.chavesnamao.com.br/imovel/apartamento-a-venda-2-quartos-com-garagem-sc-florianopolis-centro-80m2-RS1550000/id-45092268/</x:v>
      </x:c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</x:row>
    <x:row r="60">
      <x:c r="A60" s="16" t="str">
        <x:v>CNM-44235457</x:v>
      </x:c>
      <x:c r="B60" s="12" t="n">
        <x:v>630000</x:v>
      </x:c>
      <x:c r="C60" s="13" t="n">
        <x:v>76</x:v>
      </x:c>
      <x:c r="D60" s="14" t="n">
        <x:v>2</x:v>
      </x:c>
      <x:c r="E60" s="14" t="n">
        <x:v>1</x:v>
      </x:c>
      <x:c r="F60" s="14" t="n">
        <x:v>1</x:v>
      </x:c>
      <x:c r="G60" s="11" t="str">
        <x:v>Chaves na Mão</x:v>
      </x:c>
      <x:c r="H60" s="15" t="n">
        <x:v>46278.625</x:v>
      </x:c>
      <x:c r="I60" s="11" t="str">
        <x:v>Rua Visconde de Ouro Preto, 18</x:v>
      </x:c>
      <x:c r="J60" s="17" t="str">
        <x:v>https://www.chavesnamao.com.br/imovel/apartamento-a-venda-2-quartos-com-garagem-sc-florianopolis-centro-100m2-RS630000/id-44235457/</x:v>
      </x:c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</x:row>
    <x:row r="61">
      <x:c r="A61" s="16" t="str">
        <x:v>CNM-40661919</x:v>
      </x:c>
      <x:c r="B61" s="12" t="n">
        <x:v>550000</x:v>
      </x:c>
      <x:c r="C61" s="13" t="n">
        <x:v>72</x:v>
      </x:c>
      <x:c r="D61" s="14" t="n">
        <x:v>2</x:v>
      </x:c>
      <x:c r="E61" s="14" t="n">
        <x:v>0</x:v>
      </x:c>
      <x:c r="F61" s="14" t="n">
        <x:v>1</x:v>
      </x:c>
      <x:c r="G61" s="11" t="str">
        <x:v>Chaves na Mão</x:v>
      </x:c>
      <x:c r="H61" s="15" t="n">
        <x:v>46278.625</x:v>
      </x:c>
      <x:c r="I61" s="11" t="str">
        <x:v>Rua João Pinto, 30</x:v>
      </x:c>
      <x:c r="J61" s="17" t="str">
        <x:v>https://www.chavesnamao.com.br/imovel/apartamento-a-venda-2-quartos-sc-florianopolis-centro-72m2-RS550000/id-40661919/</x:v>
      </x:c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</x:row>
    <x:row r="62">
      <x:c r="A62" s="16" t="str">
        <x:v>CNM-39747244</x:v>
      </x:c>
      <x:c r="B62" s="12" t="n">
        <x:v>1831982</x:v>
      </x:c>
      <x:c r="C62" s="13" t="n">
        <x:v>92</x:v>
      </x:c>
      <x:c r="D62" s="14" t="n">
        <x:v>2</x:v>
      </x:c>
      <x:c r="E62" s="14" t="n">
        <x:v>1</x:v>
      </x:c>
      <x:c r="F62" s="14" t="n">
        <x:v>3</x:v>
      </x:c>
      <x:c r="G62" s="11" t="str">
        <x:v>Chaves na Mão</x:v>
      </x:c>
      <x:c r="H62" s="15" t="n">
        <x:v>46278.625</x:v>
      </x:c>
      <x:c r="I62" s="11" t="str">
        <x:v>Rua Desembargador Urbano Salles, 99</x:v>
      </x:c>
      <x:c r="J62" s="17" t="str">
        <x:v>https://www.chavesnamao.com.br/imovel/apartamento-a-venda-2-quartos-com-garagem-sc-florianopolis-centro-92m2-RS1831982/id-39747244/</x:v>
      </x:c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</x:row>
    <x:row r="63">
      <x:c r="A63" s="16" t="str">
        <x:v>CNM-44106864</x:v>
      </x:c>
      <x:c r="B63" s="12" t="n">
        <x:v>1150000</x:v>
      </x:c>
      <x:c r="C63" s="13" t="n">
        <x:v>68</x:v>
      </x:c>
      <x:c r="D63" s="14" t="n">
        <x:v>2</x:v>
      </x:c>
      <x:c r="E63" s="14" t="n">
        <x:v>2</x:v>
      </x:c>
      <x:c r="F63" s="14" t="n">
        <x:v>2</x:v>
      </x:c>
      <x:c r="G63" s="11" t="str">
        <x:v>Chaves na Mão</x:v>
      </x:c>
      <x:c r="H63" s="15" t="n">
        <x:v>46278.625</x:v>
      </x:c>
      <x:c r="I63" s="11" t="str">
        <x:v>Rua Hermann Blumenau, 121</x:v>
      </x:c>
      <x:c r="J63" s="17" t="str">
        <x:v>https://www.chavesnamao.com.br/imovel/apartamento-a-venda-2-quartos-com-garagem-sc-florianopolis-centro-95m2-RS1150000/id-44106864/</x:v>
      </x:c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</x:row>
    <x:row r="64">
      <x:c r="A64" s="16" t="str">
        <x:v>CNM-43109740</x:v>
      </x:c>
      <x:c r="B64" s="12" t="n">
        <x:v>2000000</x:v>
      </x:c>
      <x:c r="C64" s="13" t="n">
        <x:v>97</x:v>
      </x:c>
      <x:c r="D64" s="14" t="n">
        <x:v>2</x:v>
      </x:c>
      <x:c r="E64" s="14" t="n">
        <x:v>1</x:v>
      </x:c>
      <x:c r="F64" s="14" t="n">
        <x:v>3</x:v>
      </x:c>
      <x:c r="G64" s="11" t="str">
        <x:v>Chaves na Mão</x:v>
      </x:c>
      <x:c r="H64" s="15" t="n">
        <x:v>46278.625</x:v>
      </x:c>
      <x:c r="I64" s="11" t="str">
        <x:v>Rua Hoepcke, 185</x:v>
      </x:c>
      <x:c r="J64" s="17" t="str">
        <x:v>https://www.chavesnamao.com.br/imovel/apartamento-a-venda-2-quartos-com-garagem-sc-florianopolis-centro-127m2-RS2000000/id-43109740/</x:v>
      </x:c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</x:row>
    <x:row r="65">
      <x:c r="A65" s="16" t="str">
        <x:v>CNM-45010554</x:v>
      </x:c>
      <x:c r="B65" s="12" t="n">
        <x:v>999000</x:v>
      </x:c>
      <x:c r="C65" s="13" t="n">
        <x:v>77</x:v>
      </x:c>
      <x:c r="D65" s="14" t="n">
        <x:v>2</x:v>
      </x:c>
      <x:c r="E65" s="14" t="n">
        <x:v>1</x:v>
      </x:c>
      <x:c r="F65" s="14" t="n">
        <x:v>1</x:v>
      </x:c>
      <x:c r="G65" s="11" t="str">
        <x:v>Chaves na Mão</x:v>
      </x:c>
      <x:c r="H65" s="15" t="n">
        <x:v>46278.625</x:v>
      </x:c>
      <x:c r="I65" s="11" t="str">
        <x:v>Rua Almirante Lamego, 747</x:v>
      </x:c>
      <x:c r="J65" s="17" t="str">
        <x:v>https://www.chavesnamao.com.br/imovel/apartamento-a-venda-2-quartos-com-garagem-sc-florianopolis-centro-101m2-RS999000/id-45010554/</x:v>
      </x:c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/>
      <x:c r="AR181" s="1"/>
      <x:c r="AS181" s="1"/>
      <x:c r="AT181" s="1"/>
      <x:c r="AU181" s="1"/>
      <x:c r="AV181" s="1"/>
      <x:c r="AW181" s="1"/>
      <x:c r="AX181" s="1"/>
      <x:c r="AY181" s="1"/>
      <x:c r="A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/>
      <x:c r="AR183" s="1"/>
      <x:c r="AS183" s="1"/>
      <x:c r="AT183" s="1"/>
      <x:c r="AU183" s="1"/>
      <x:c r="AV183" s="1"/>
      <x:c r="AW183" s="1"/>
      <x:c r="AX183" s="1"/>
      <x:c r="AY183" s="1"/>
      <x:c r="A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</x:row>
  </x:sheetData>
  <x:pageMargins left="0.7" right="0.7" top="0.75" bottom="0.75" header="0.3" footer="0.3"/>
  <x:tableParts count="1">
    <x:tablePart xmlns:r="http://schemas.openxmlformats.org/officeDocument/2006/relationships" r:id="R57917490648e4603"/>
  </x:tableParts>
</x:worksheet>
</file>

<file path=xl/worksheets/sheet2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34" hidden="0" customWidth="1"/>
    <x:col min="5" max="5" width="22" hidden="0" customWidth="1"/>
    <x:col min="6" max="6" width="18" hidden="0" customWidth="1"/>
    <x:col min="7" max="7" width="20" hidden="0" customWidth="1"/>
    <x:col min="8" max="8" width="28" hidden="0" customWidth="1"/>
  </x:cols>
  <x:sheetData>
    <x:row r="1">
      <x:c r="A1" s="11"/>
      <x:c r="B1" s="11"/>
      <x:c r="C1" s="11"/>
      <x:c r="D1" s="11"/>
      <x:c r="E1" s="11"/>
      <x:c r="F1" s="11"/>
      <x:c r="G1" s="11"/>
      <x:c r="H1" s="1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26" customHeight="1">
      <x:c r="A2" s="105" t="str">
        <x:v>Pesquisa de mercado para avaliação de apartamento no Centro de Florianópolis</x:v>
      </x:c>
      <x:c r="B2" s="105"/>
      <x:c r="C2" s="105"/>
      <x:c r="D2" s="105"/>
      <x:c r="E2" s="105"/>
      <x:c r="F2" s="105"/>
      <x:c r="G2" s="105"/>
      <x:c r="H2" s="105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</x:row>
    <x:row r="3">
      <x:c r="A3" s="106"/>
      <x:c r="B3" s="106"/>
      <x:c r="C3" s="106"/>
      <x:c r="D3" s="106"/>
      <x:c r="E3" s="106"/>
      <x:c r="F3" s="106"/>
      <x:c r="G3" s="106"/>
      <x:c r="H3" s="106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</x:row>
    <x:row r="4">
      <x:c r="A4" s="11"/>
      <x:c r="B4" s="11"/>
      <x:c r="C4" s="11"/>
      <x:c r="D4" s="11"/>
      <x:c r="E4" s="11"/>
      <x:c r="F4" s="11"/>
      <x:c r="G4" s="11"/>
      <x:c r="H4" s="1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</x:row>
    <x:row r="5">
      <x:c r="A5" s="20" t="str">
        <x:v>Escopo da coleta</x:v>
      </x:c>
      <x:c r="B5" s="20"/>
      <x:c r="C5" s="20"/>
      <x:c r="D5" s="20"/>
      <x:c r="E5" s="20" t="str">
        <x:v>Data de referência</x:v>
      </x:c>
      <x:c r="F5" s="20"/>
      <x:c r="G5" s="20"/>
      <x:c r="H5" s="20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</x:row>
    <x:row r="6">
      <x:c r="A6" s="39" t="str">
        <x:v>Tipo</x:v>
      </x:c>
      <x:c r="B6" s="31" t="str">
        <x:v>Apartamento</x:v>
      </x:c>
      <x:c r="C6" s="42" t="str">
        <x:v>Bairro</x:v>
      </x:c>
      <x:c r="D6" s="31" t="str">
        <x:v>Centro</x:v>
      </x:c>
      <x:c r="E6" s="42" t="str">
        <x:v>Registros brutos</x:v>
      </x:c>
      <x:c r="F6" s="31" t="n">
        <x:v>87</x:v>
      </x:c>
      <x:c r="G6" s="42" t="str">
        <x:v>URLs individuais</x:v>
      </x:c>
      <x:c r="H6" s="32" t="n">
        <x:v>84</x:v>
      </x:c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</x:row>
    <x:row r="7">
      <x:c r="A7" s="40" t="str">
        <x:v>Quartos coletados</x:v>
      </x:c>
      <x:c r="B7" s="34" t="str">
        <x:v>2 a 4</x:v>
      </x:c>
      <x:c r="C7" s="43" t="str">
        <x:v>Área preferencial</x:v>
      </x:c>
      <x:c r="D7" s="34" t="str">
        <x:v>60 a 150 m² privativos</x:v>
      </x:c>
      <x:c r="E7" s="43" t="str">
        <x:v>Elegíveis preliminares</x:v>
      </x:c>
      <x:c r="F7" s="47" t="n">
        <x:v>64</x:v>
      </x:c>
      <x:c r="G7" s="43" t="str">
        <x:v>Excluídos sinalizados</x:v>
      </x:c>
      <x:c r="H7" s="35" t="n">
        <x:v>23</x:v>
      </x:c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</x:row>
    <x:row r="8">
      <x:c r="A8" s="40" t="str">
        <x:v>Natureza do preço</x:v>
      </x:c>
      <x:c r="B8" s="34" t="str">
        <x:v>Oferta</x:v>
      </x:c>
      <x:c r="C8" s="43" t="str">
        <x:v>Data da coleta</x:v>
      </x:c>
      <x:c r="D8" s="45" t="n">
        <x:v>46278.625</x:v>
      </x:c>
      <x:c r="E8" s="43" t="str">
        <x:v>Fontes distintas</x:v>
      </x:c>
      <x:c r="F8" s="34" t="n">
        <x:v>6</x:v>
      </x:c>
      <x:c r="G8" s="43" t="str">
        <x:v>Meta solicitada</x:v>
      </x:c>
      <x:c r="H8" s="35" t="n">
        <x:v>50</x:v>
      </x:c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</x:row>
    <x:row r="9">
      <x:c r="A9" s="41" t="str">
        <x:v>Método pretendido</x:v>
      </x:c>
      <x:c r="B9" s="37" t="str">
        <x:v>Comparativo direto</x:v>
      </x:c>
      <x:c r="C9" s="44" t="str">
        <x:v>Destino</x:v>
      </x:c>
      <x:c r="D9" s="37" t="str">
        <x:v>Regressão / SisDEA</x:v>
      </x:c>
      <x:c r="E9" s="44" t="str">
        <x:v>Situação</x:v>
      </x:c>
      <x:c r="F9" s="37" t="str">
        <x:v>Meta de coleta atendida</x:v>
      </x:c>
      <x:c r="G9" s="44" t="str">
        <x:v>Conferência</x:v>
      </x:c>
      <x:c r="H9" s="48" t="str">
        <x:v>Pendente com fontes e vistoria</x:v>
      </x:c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</x:row>
    <x:row r="11">
      <x:c r="A11" s="107" t="str">
        <x:v>Imóvel avaliando</x:v>
      </x:c>
      <x:c r="B11" s="107"/>
      <x:c r="C11" s="107"/>
      <x:c r="D11" s="107"/>
      <x:c r="E11" s="107"/>
      <x:c r="F11" s="107"/>
      <x:c r="G11" s="107"/>
      <x:c r="H11" s="107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</x:row>
    <x:row r="12">
      <x:c r="A12" s="39" t="str">
        <x:v>Código</x:v>
      </x:c>
      <x:c r="B12" s="31" t="str">
        <x:v>41337</x:v>
      </x:c>
      <x:c r="C12" s="42" t="str">
        <x:v>Condomínio</x:v>
      </x:c>
      <x:c r="D12" s="31" t="str">
        <x:v>Martinho de Haro</x:v>
      </x:c>
      <x:c r="E12" s="42" t="str">
        <x:v>Endereço</x:v>
      </x:c>
      <x:c r="F12" s="31" t="str">
        <x:v>Rua Vidal Ramos</x:v>
      </x:c>
      <x:c r="G12" s="42" t="str">
        <x:v>Bairro</x:v>
      </x:c>
      <x:c r="H12" s="32" t="str">
        <x:v>Centro</x:v>
      </x:c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</x:row>
    <x:row r="13">
      <x:c r="A13" s="40" t="str">
        <x:v>Preço de oferta</x:v>
      </x:c>
      <x:c r="B13" s="108" t="n">
        <x:v>750000</x:v>
      </x:c>
      <x:c r="C13" s="43" t="str">
        <x:v>Área privativa</x:v>
      </x:c>
      <x:c r="D13" s="34" t="n">
        <x:v>99</x:v>
      </x:c>
      <x:c r="E13" s="43" t="str">
        <x:v>Área total exibida</x:v>
      </x:c>
      <x:c r="F13" s="34" t="n">
        <x:v>117</x:v>
      </x:c>
      <x:c r="G13" s="43" t="str">
        <x:v>R$/m² privativo</x:v>
      </x:c>
      <x:c r="H13" s="109" t="n">
        <x:v>7575.757575757576</x:v>
      </x:c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</x:row>
    <x:row r="14">
      <x:c r="A14" s="40" t="str">
        <x:v>Dormitórios</x:v>
      </x:c>
      <x:c r="B14" s="34" t="n">
        <x:v>3</x:v>
      </x:c>
      <x:c r="C14" s="43" t="str">
        <x:v>Suítes</x:v>
      </x:c>
      <x:c r="D14" s="34" t="n">
        <x:v>0</x:v>
      </x:c>
      <x:c r="E14" s="43" t="str">
        <x:v>Banheiros</x:v>
      </x:c>
      <x:c r="F14" s="34" t="n">
        <x:v>2</x:v>
      </x:c>
      <x:c r="G14" s="43" t="str">
        <x:v>Vagas</x:v>
      </x:c>
      <x:c r="H14" s="35" t="n">
        <x:v>1</x:v>
      </x:c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</x:row>
    <x:row r="15">
      <x:c r="A15" s="40" t="str">
        <x:v>Condomínio/mês</x:v>
      </x:c>
      <x:c r="B15" s="108" t="n">
        <x:v>1131</x:v>
      </x:c>
      <x:c r="C15" s="110" t="str">
        <x:v>IPTU/mês</x:v>
      </x:c>
      <x:c r="D15" s="108" t="n">
        <x:v>190</x:v>
      </x:c>
      <x:c r="E15" s="43" t="str">
        <x:v>Elevador</x:v>
      </x:c>
      <x:c r="F15" s="34" t="str">
        <x:v>Sim</x:v>
      </x:c>
      <x:c r="G15" s="43" t="str">
        <x:v>Estado</x:v>
      </x:c>
      <x:c r="H15" s="35" t="str">
        <x:v>Semi-mobiliado; vaga livre</x:v>
      </x:c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</x:row>
    <x:row r="16">
      <x:c r="A16" s="40" t="str">
        <x:v>URL</x:v>
      </x:c>
      <x:c r="B16" s="34" t="str">
        <x:v>https://www.gralhaimoveis.com.br/imovel/venda+apartamento+3-quartos+centro+florianopolis+sc+99m2+rs750000/165137551</x:v>
      </x:c>
      <x:c r="C16" s="34"/>
      <x:c r="D16" s="34"/>
      <x:c r="E16" s="34"/>
      <x:c r="F16" s="34"/>
      <x:c r="G16" s="34"/>
      <x:c r="H16" s="35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</x:row>
    <x:row r="17" ht="45" customHeight="1">
      <x:c r="A17" s="41" t="str">
        <x:v>Alerta de área</x:v>
      </x:c>
      <x:c r="B17" s="111" t="str">
        <x:v>Descrição informa 99 m² privativos; cartão-resumo mostra 117 m². Conferir matrícula, planta e cadastro municipal.</x:v>
      </x:c>
      <x:c r="C17" s="111"/>
      <x:c r="D17" s="111"/>
      <x:c r="E17" s="111"/>
      <x:c r="F17" s="111"/>
      <x:c r="G17" s="111"/>
      <x:c r="H17" s="112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</x:row>
    <x:row r="19">
      <x:c r="A19" s="107" t="str">
        <x:v>Distribuição das amostras elegíveis</x:v>
      </x:c>
      <x:c r="B19" s="107" t="str">
        <x:v>Distribuição das amostras elegíveis</x:v>
      </x:c>
      <x:c r="C19" s="107" t="str">
        <x:v>Distribuição das amostras elegíveis</x:v>
      </x:c>
      <x:c r="D19" s="107" t="str">
        <x:v>Distribuição das amostras elegíveis</x:v>
      </x:c>
      <x:c r="E19" s="11"/>
      <x:c r="F19" s="107" t="str">
        <x:v>Contagem por fonte</x:v>
      </x:c>
      <x:c r="G19" s="107" t="str">
        <x:v>Contagem por fonte</x:v>
      </x:c>
      <x:c r="H19" s="107" t="str">
        <x:v>Contagem por fonte</x:v>
      </x:c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</x:row>
    <x:row r="20">
      <x:c r="A20" s="113" t="str">
        <x:v>Indicador</x:v>
      </x:c>
      <x:c r="B20" s="114" t="str">
        <x:v>Preço de oferta</x:v>
      </x:c>
      <x:c r="C20" s="114" t="str">
        <x:v>Área privativa</x:v>
      </x:c>
      <x:c r="D20" s="115" t="str">
        <x:v>R$/m²</x:v>
      </x:c>
      <x:c r="E20" s="11"/>
      <x:c r="F20" s="113" t="str">
        <x:v>Fonte</x:v>
      </x:c>
      <x:c r="G20" s="114" t="str">
        <x:v>Brutas</x:v>
      </x:c>
      <x:c r="H20" s="115" t="str">
        <x:v>Elegíveis</x:v>
      </x:c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</x:row>
    <x:row r="21">
      <x:c r="A21" s="33" t="str">
        <x:v>Mínimo</x:v>
      </x:c>
      <x:c r="B21" s="108" t="n">
        <x:v>550000</x:v>
      </x:c>
      <x:c r="C21" s="116" t="n">
        <x:v>60</x:v>
      </x:c>
      <x:c r="D21" s="109" t="n">
        <x:v>5221.238938053098</x:v>
      </x:c>
      <x:c r="E21" s="11"/>
      <x:c r="F21" s="33" t="str">
        <x:v>Auxiliadora Predial</x:v>
      </x:c>
      <x:c r="G21" s="34" t="n">
        <x:v>17</x:v>
      </x:c>
      <x:c r="H21" s="35" t="n">
        <x:v>17</x:v>
      </x:c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</x:row>
    <x:row r="22">
      <x:c r="A22" s="33" t="str">
        <x:v>1º quartil</x:v>
      </x:c>
      <x:c r="B22" s="108" t="n">
        <x:v>756600</x:v>
      </x:c>
      <x:c r="C22" s="116" t="n">
        <x:v>71.5</x:v>
      </x:c>
      <x:c r="D22" s="109" t="n">
        <x:v>9357.193587662337</x:v>
      </x:c>
      <x:c r="E22" s="11"/>
      <x:c r="F22" s="33" t="str">
        <x:v>Brognoli Imóveis</x:v>
      </x:c>
      <x:c r="G22" s="34" t="n">
        <x:v>3</x:v>
      </x:c>
      <x:c r="H22" s="35" t="n">
        <x:v>2</x:v>
      </x:c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</x:row>
    <x:row r="23">
      <x:c r="A23" s="33" t="str">
        <x:v>Mediana</x:v>
      </x:c>
      <x:c r="B23" s="108" t="n">
        <x:v>1085000</x:v>
      </x:c>
      <x:c r="C23" s="116" t="n">
        <x:v>80.14</x:v>
      </x:c>
      <x:c r="D23" s="109" t="n">
        <x:v>13208.333333333334</x:v>
      </x:c>
      <x:c r="E23" s="11"/>
      <x:c r="F23" s="33" t="str">
        <x:v>Chaves na Mão</x:v>
      </x:c>
      <x:c r="G23" s="34" t="n">
        <x:v>30</x:v>
      </x:c>
      <x:c r="H23" s="35" t="n">
        <x:v>27</x:v>
      </x:c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</x:row>
    <x:row r="24">
      <x:c r="A24" s="33" t="str">
        <x:v>3º quartil</x:v>
      </x:c>
      <x:c r="B24" s="108" t="n">
        <x:v>1600000</x:v>
      </x:c>
      <x:c r="C24" s="116" t="n">
        <x:v>104.5</x:v>
      </x:c>
      <x:c r="D24" s="109" t="n">
        <x:v>19475.27985074627</x:v>
      </x:c>
      <x:c r="E24" s="11"/>
      <x:c r="F24" s="33" t="str">
        <x:v>Gralha Imóveis</x:v>
      </x:c>
      <x:c r="G24" s="34" t="n">
        <x:v>17</x:v>
      </x:c>
      <x:c r="H24" s="35" t="n">
        <x:v>11</x:v>
      </x:c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</x:row>
    <x:row r="25">
      <x:c r="A25" s="36" t="str">
        <x:v>Máximo</x:v>
      </x:c>
      <x:c r="B25" s="117" t="n">
        <x:v>4300000</x:v>
      </x:c>
      <x:c r="C25" s="118" t="n">
        <x:v>142.77</x:v>
      </x:c>
      <x:c r="D25" s="119" t="n">
        <x:v>30953.06651310107</x:v>
      </x:c>
      <x:c r="E25" s="11"/>
      <x:c r="F25" s="33" t="str">
        <x:v>Imovelweb</x:v>
      </x:c>
      <x:c r="G25" s="34" t="n">
        <x:v>17</x:v>
      </x:c>
      <x:c r="H25" s="35" t="n">
        <x:v>7</x:v>
      </x:c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</x:row>
    <x:row r="26">
      <x:c r="A26" s="11"/>
      <x:c r="B26" s="11"/>
      <x:c r="C26" s="11"/>
      <x:c r="D26" s="11"/>
      <x:c r="E26" s="11"/>
      <x:c r="F26" s="36" t="str">
        <x:v>ZAP Imóveis</x:v>
      </x:c>
      <x:c r="G26" s="37" t="n">
        <x:v>3</x:v>
      </x:c>
      <x:c r="H26" s="38" t="n">
        <x:v>0</x:v>
      </x:c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</x:row>
    <x:row r="28">
      <x:c r="A28" s="107" t="str">
        <x:v>Saneamento preliminar</x:v>
      </x:c>
      <x:c r="B28" s="107"/>
      <x:c r="C28" s="107"/>
      <x:c r="D28" s="107"/>
      <x:c r="E28" s="11"/>
      <x:c r="F28" s="11"/>
      <x:c r="G28" s="11"/>
      <x:c r="H28" s="1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</x:row>
    <x:row r="29">
      <x:c r="A29" s="113" t="str">
        <x:v>Motivo</x:v>
      </x:c>
      <x:c r="B29" s="114" t="str">
        <x:v>Quantidade</x:v>
      </x:c>
      <x:c r="C29" s="114" t="str">
        <x:v>Efeito</x:v>
      </x:c>
      <x:c r="D29" s="115" t="str">
        <x:v>Ação sugerida</x:v>
      </x:c>
      <x:c r="E29" s="11"/>
      <x:c r="F29" s="11"/>
      <x:c r="G29" s="11"/>
      <x:c r="H29" s="1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</x:row>
    <x:row r="30" ht="32" customHeight="1">
      <x:c r="A30" s="120" t="str">
        <x:v>conflito relevante no anúncio</x:v>
      </x:c>
      <x:c r="B30" s="121" t="n">
        <x:v>8</x:v>
      </x:c>
      <x:c r="C30" s="121" t="str">
        <x:v>Incluir = 0</x:v>
      </x:c>
      <x:c r="D30" s="122" t="str">
        <x:v>Confirmar na fonte antes de reativar</x:v>
      </x:c>
      <x:c r="E30" s="11"/>
      <x:c r="F30" s="11"/>
      <x:c r="G30" s="11"/>
      <x:c r="H30" s="1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</x:row>
    <x:row r="31" ht="32" customHeight="1">
      <x:c r="A31" s="120" t="str">
        <x:v>lançamento/construção ou preço de custo</x:v>
      </x:c>
      <x:c r="B31" s="121" t="n">
        <x:v>4</x:v>
      </x:c>
      <x:c r="C31" s="121" t="str">
        <x:v>Incluir = 0</x:v>
      </x:c>
      <x:c r="D31" s="122" t="str">
        <x:v>Confirmar na fonte antes de reativar</x:v>
      </x:c>
      <x:c r="E31" s="11"/>
      <x:c r="F31" s="11"/>
      <x:c r="G31" s="11"/>
      <x:c r="H31" s="1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</x:row>
    <x:row r="32" ht="32" customHeight="1">
      <x:c r="A32" s="120" t="str">
        <x:v>área fora de 60 a 150 m²</x:v>
      </x:c>
      <x:c r="B32" s="121" t="n">
        <x:v>7</x:v>
      </x:c>
      <x:c r="C32" s="121" t="str">
        <x:v>Incluir = 0</x:v>
      </x:c>
      <x:c r="D32" s="122" t="str">
        <x:v>Confirmar na fonte antes de reativar</x:v>
      </x:c>
      <x:c r="E32" s="11"/>
      <x:c r="F32" s="11"/>
      <x:c r="G32" s="11"/>
      <x:c r="H32" s="1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</x:row>
    <x:row r="33" ht="32" customHeight="1">
      <x:c r="A33" s="120" t="str">
        <x:v>duplicidade provável de A09</x:v>
      </x:c>
      <x:c r="B33" s="121" t="n">
        <x:v>1</x:v>
      </x:c>
      <x:c r="C33" s="121" t="str">
        <x:v>Incluir = 0</x:v>
      </x:c>
      <x:c r="D33" s="122" t="str">
        <x:v>Confirmar na fonte antes de reativar</x:v>
      </x:c>
      <x:c r="E33" s="11"/>
      <x:c r="F33" s="11"/>
      <x:c r="G33" s="11"/>
      <x:c r="H33" s="1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</x:row>
    <x:row r="34" ht="32" customHeight="1">
      <x:c r="A34" s="120" t="str">
        <x:v>duplicidade provável de A07</x:v>
      </x:c>
      <x:c r="B34" s="121" t="n">
        <x:v>1</x:v>
      </x:c>
      <x:c r="C34" s="121" t="str">
        <x:v>Incluir = 0</x:v>
      </x:c>
      <x:c r="D34" s="122" t="str">
        <x:v>Confirmar na fonte antes de reativar</x:v>
      </x:c>
      <x:c r="E34" s="11"/>
      <x:c r="F34" s="11"/>
      <x:c r="G34" s="11"/>
      <x:c r="H34" s="1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</x:row>
    <x:row r="35" ht="32" customHeight="1">
      <x:c r="A35" s="120" t="str">
        <x:v>URL não individual</x:v>
      </x:c>
      <x:c r="B35" s="121" t="n">
        <x:v>3</x:v>
      </x:c>
      <x:c r="C35" s="121" t="str">
        <x:v>Incluir = 0</x:v>
      </x:c>
      <x:c r="D35" s="122" t="str">
        <x:v>Confirmar na fonte antes de reativar</x:v>
      </x:c>
      <x:c r="E35" s="11"/>
      <x:c r="F35" s="11"/>
      <x:c r="G35" s="11"/>
      <x:c r="H35" s="1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</x:row>
    <x:row r="36" ht="32" customHeight="1">
      <x:c r="A36" s="120" t="str">
        <x:v>possível mesma unidade do avaliando</x:v>
      </x:c>
      <x:c r="B36" s="121" t="n">
        <x:v>1</x:v>
      </x:c>
      <x:c r="C36" s="121" t="str">
        <x:v>Incluir = 0</x:v>
      </x:c>
      <x:c r="D36" s="122" t="str">
        <x:v>Confirmar na fonte antes de reativar</x:v>
      </x:c>
      <x:c r="E36" s="11"/>
      <x:c r="F36" s="11"/>
      <x:c r="G36" s="11"/>
      <x:c r="H36" s="1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</x:row>
    <x:row r="37" ht="32" customHeight="1">
      <x:c r="A37" s="120" t="str">
        <x:v>duplicidade provável de GR-34953</x:v>
      </x:c>
      <x:c r="B37" s="121" t="n">
        <x:v>1</x:v>
      </x:c>
      <x:c r="C37" s="121" t="str">
        <x:v>Incluir = 0</x:v>
      </x:c>
      <x:c r="D37" s="122" t="str">
        <x:v>Confirmar na fonte antes de reativar</x:v>
      </x:c>
      <x:c r="E37" s="11"/>
      <x:c r="F37" s="11"/>
      <x:c r="G37" s="11"/>
      <x:c r="H37" s="1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</x:row>
    <x:row r="38" ht="32" customHeight="1">
      <x:c r="A38" s="123" t="str">
        <x:v>duplicidade provável de A02</x:v>
      </x:c>
      <x:c r="B38" s="124" t="n">
        <x:v>1</x:v>
      </x:c>
      <x:c r="C38" s="124" t="str">
        <x:v>Incluir = 0</x:v>
      </x:c>
      <x:c r="D38" s="125" t="str">
        <x:v>Confirmar na fonte antes de reativar</x:v>
      </x:c>
      <x:c r="E38" s="11"/>
      <x:c r="F38" s="11"/>
      <x:c r="G38" s="11"/>
      <x:c r="H38" s="1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</x:row>
    <x:row r="40">
      <x:c r="A40" s="80" t="str">
        <x:v>A quantidade de linhas não determina, por si só, o grau de fundamentação. A amostra exige confirmação de disponibilidade, depuração, vistoria, segmentação, especificação do modelo e diagnósticos estatísticos conforme o trabalho avaliatório.</x:v>
      </x:c>
      <x:c r="B40" s="80"/>
      <x:c r="C40" s="80"/>
      <x:c r="D40" s="80"/>
      <x:c r="E40" s="80"/>
      <x:c r="F40" s="80"/>
      <x:c r="G40" s="80"/>
      <x:c r="H40" s="80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</x:row>
    <x:row r="41">
      <x:c r="A41" s="80"/>
      <x:c r="B41" s="80"/>
      <x:c r="C41" s="80"/>
      <x:c r="D41" s="80"/>
      <x:c r="E41" s="80"/>
      <x:c r="F41" s="80"/>
      <x:c r="G41" s="80"/>
      <x:c r="H41" s="80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/>
      <x:c r="AR181" s="1"/>
      <x:c r="AS181" s="1"/>
      <x:c r="AT181" s="1"/>
      <x:c r="AU181" s="1"/>
      <x:c r="AV181" s="1"/>
      <x:c r="AW181" s="1"/>
      <x:c r="AX181" s="1"/>
      <x:c r="AY181" s="1"/>
      <x:c r="A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/>
      <x:c r="AR183" s="1"/>
      <x:c r="AS183" s="1"/>
      <x:c r="AT183" s="1"/>
      <x:c r="AU183" s="1"/>
      <x:c r="AV183" s="1"/>
      <x:c r="AW183" s="1"/>
      <x:c r="AX183" s="1"/>
      <x:c r="AY183" s="1"/>
      <x:c r="A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</x:row>
  </x:sheetData>
  <x:mergeCells>
    <x:mergeCell ref="A2:H2"/>
    <x:mergeCell ref="A5:D5"/>
    <x:mergeCell ref="E5:H5"/>
    <x:mergeCell ref="A11:H11"/>
    <x:mergeCell ref="B16:H16"/>
    <x:mergeCell ref="B17:H17"/>
    <x:mergeCell ref="A19:D19"/>
    <x:mergeCell ref="F19:H19"/>
    <x:mergeCell ref="A28:D28"/>
    <x:mergeCell ref="A40:H4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6" hidden="0" customWidth="1"/>
    <x:col min="2" max="2" width="14" hidden="0" customWidth="1"/>
    <x:col min="3" max="3" width="30" hidden="0" customWidth="1"/>
    <x:col min="4" max="4" width="18" hidden="0" customWidth="1"/>
    <x:col min="5" max="5" width="18" hidden="0" customWidth="1"/>
    <x:col min="6" max="6" width="17" hidden="0" customWidth="1"/>
    <x:col min="7" max="7" width="17" hidden="0" customWidth="1"/>
    <x:col min="8" max="8" width="17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24" hidden="0" customWidth="1"/>
    <x:col min="37" max="37" width="38" hidden="0" customWidth="1"/>
    <x:col min="38" max="38" width="28" hidden="0" customWidth="1"/>
    <x:col min="39" max="39" width="2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>
      <x:c r="A2" s="81" t="str">
        <x:v>Base numérica para SisDEA</x:v>
      </x:c>
      <x:c r="B2" s="81"/>
      <x:c r="C2" s="81"/>
      <x:c r="D2" s="81"/>
      <x:c r="E2" s="81"/>
      <x:c r="F2" s="81"/>
      <x:c r="G2" s="81"/>
      <x:c r="H2" s="81"/>
      <x:c r="I2" s="81"/>
      <x:c r="J2" s="81"/>
      <x:c r="K2" s="81"/>
      <x:c r="L2" s="81"/>
      <x:c r="M2" s="81"/>
      <x:c r="N2" s="81"/>
      <x:c r="O2" s="81"/>
      <x:c r="P2" s="81"/>
      <x:c r="Q2" s="81"/>
      <x:c r="R2" s="81"/>
      <x:c r="S2" s="81"/>
      <x:c r="T2" s="81"/>
      <x:c r="U2" s="81"/>
      <x:c r="V2" s="81"/>
      <x:c r="W2" s="81"/>
      <x:c r="X2" s="81"/>
      <x:c r="Y2" s="81"/>
      <x:c r="Z2" s="81"/>
      <x:c r="AA2" s="81"/>
      <x:c r="AB2" s="81"/>
      <x:c r="AC2" s="81"/>
      <x:c r="AD2" s="81"/>
      <x:c r="AE2" s="8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</x:row>
    <x:row r="3">
      <x:c r="A3" s="79" t="str">
        <x:v>Filtre Incluir = 1. Preencha Microzona, Conservação e Padrão somente após definir escalas uniformes e verificar os comparáveis.</x:v>
      </x:c>
      <x:c r="B3" s="79"/>
      <x:c r="C3" s="79"/>
      <x:c r="D3" s="79"/>
      <x:c r="E3" s="79"/>
      <x:c r="F3" s="79"/>
      <x:c r="G3" s="79"/>
      <x:c r="H3" s="79"/>
      <x:c r="I3" s="79"/>
      <x:c r="J3" s="79"/>
      <x:c r="K3" s="79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  <x:c r="AA3" s="79"/>
      <x:c r="AB3" s="79"/>
      <x:c r="AC3" s="79"/>
      <x:c r="AD3" s="79"/>
      <x:c r="AE3" s="79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</x:row>
    <x:row r="4" ht="38" customHeight="1">
      <x:c r="A4" s="6" t="str">
        <x:v>ID</x:v>
      </x:c>
      <x:c r="B4" s="6" t="str">
        <x:v>Incluir</x:v>
      </x:c>
      <x:c r="C4" s="6" t="str">
        <x:v>Motivo_exclusao</x:v>
      </x:c>
      <x:c r="D4" s="6" t="str">
        <x:v>Preco_oferta_R$</x:v>
      </x:c>
      <x:c r="E4" s="6" t="str">
        <x:v>Preco_modelo_R$</x:v>
      </x:c>
      <x:c r="F4" s="6" t="str">
        <x:v>Area_priv_m2</x:v>
      </x:c>
      <x:c r="G4" s="6" t="str">
        <x:v>Area_total_m2</x:v>
      </x:c>
      <x:c r="H4" s="6" t="str">
        <x:v>Preco_unit_R$_m2</x:v>
      </x:c>
      <x:c r="I4" s="6" t="str">
        <x:v>Dormitorios</x:v>
      </x:c>
      <x:c r="J4" s="6" t="str">
        <x:v>Suites</x:v>
      </x:c>
      <x:c r="K4" s="6" t="str">
        <x:v>Banheiros</x:v>
      </x:c>
      <x:c r="L4" s="6" t="str">
        <x:v>Vagas</x:v>
      </x:c>
      <x:c r="M4" s="6" t="str">
        <x:v>Elevador_1_0</x:v>
      </x:c>
      <x:c r="N4" s="6" t="str">
        <x:v>Andar_num</x:v>
      </x:c>
      <x:c r="O4" s="6" t="str">
        <x:v>Andar_alto_1_0</x:v>
      </x:c>
      <x:c r="P4" s="6" t="str">
        <x:v>Semi_mobiliado_1_0</x:v>
      </x:c>
      <x:c r="Q4" s="6" t="str">
        <x:v>Mobiliado_total_1_0</x:v>
      </x:c>
      <x:c r="R4" s="6" t="str">
        <x:v>Reformado_1_0</x:v>
      </x:c>
      <x:c r="S4" s="6" t="str">
        <x:v>Alto_padrao_1_0</x:v>
      </x:c>
      <x:c r="T4" s="6" t="str">
        <x:v>Em_construcao_1_0</x:v>
      </x:c>
      <x:c r="U4" s="6" t="str">
        <x:v>Vista_mar_1_0</x:v>
      </x:c>
      <x:c r="V4" s="6" t="str">
        <x:v>Condominio_R$_mes</x:v>
      </x:c>
      <x:c r="W4" s="6" t="str">
        <x:v>IPTU_R$_ano</x:v>
      </x:c>
      <x:c r="X4" s="6" t="str">
        <x:v>Portaria_24h_1_0</x:v>
      </x:c>
      <x:c r="Y4" s="6" t="str">
        <x:v>Piscina_1_0</x:v>
      </x:c>
      <x:c r="Z4" s="6" t="str">
        <x:v>Sacada_1_0</x:v>
      </x:c>
      <x:c r="AA4" s="6" t="str">
        <x:v>Churrasqueira_1_0</x:v>
      </x:c>
      <x:c r="AB4" s="6" t="str">
        <x:v>Vaga_livre_1_0</x:v>
      </x:c>
      <x:c r="AC4" s="6" t="str">
        <x:v>Microzona_cod</x:v>
      </x:c>
      <x:c r="AD4" s="6" t="str">
        <x:v>Conservacao_cod</x:v>
      </x:c>
      <x:c r="AE4" s="6" t="str">
        <x:v>Padrao_cod</x:v>
      </x:c>
      <x:c r="AF4" s="6" t="str">
        <x:v>Natureza_oferta_1</x:v>
      </x:c>
      <x:c r="AG4" s="6" t="str">
        <x:v>Fonte_cod</x:v>
      </x:c>
      <x:c r="AH4" s="6" t="str">
        <x:v>Data_coleta</x:v>
      </x:c>
      <x:c r="AI4" s="6" t="str">
        <x:v>Fonte</x:v>
      </x:c>
      <x:c r="AJ4" s="6" t="str">
        <x:v>Endereco</x:v>
      </x:c>
      <x:c r="AK4" s="6" t="str">
        <x:v>URL</x:v>
      </x:c>
      <x:c r="AL4" s="6" t="str">
        <x:v>Confiabilidade</x:v>
      </x:c>
      <x:c r="AM4" s="6" t="str">
        <x:v>Observacoes</x:v>
      </x:c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</x:row>
    <x:row r="5">
      <x:c r="A5" s="1" t="str">
        <x:v>GR-39909</x:v>
      </x:c>
      <x:c r="B5" s="83" t="n">
        <x:v>0</x:v>
      </x:c>
      <x:c r="C5" s="1" t="str">
        <x:v>conflito relevante no anúncio</x:v>
      </x:c>
      <x:c r="D5" s="7" t="n">
        <x:v>570000</x:v>
      </x:c>
      <x:c r="E5" s="85" t="str">
        <x:f>IF(B5=1,D5,"")</x:f>
      </x:c>
      <x:c r="F5" s="8" t="n">
        <x:v>78.79</x:v>
      </x:c>
      <x:c r="G5" s="8" t="n">
        <x:v>89</x:v>
      </x:c>
      <x:c r="H5" s="85" t="str">
        <x:f>IF(AND(ISNUMBER(E5),ISNUMBER(F5),F5&gt;0),E5/F5,"")</x:f>
      </x:c>
      <x:c r="I5" s="1" t="n">
        <x:v>2</x:v>
      </x:c>
      <x:c r="J5" s="1" t="n">
        <x:v>1</x:v>
      </x:c>
      <x:c r="K5" s="1" t="n">
        <x:v>2</x:v>
      </x:c>
      <x:c r="L5" s="1" t="n">
        <x:v>0</x:v>
      </x:c>
      <x:c r="M5" s="1" t="n">
        <x:v>1</x:v>
      </x:c>
      <x:c r="N5" s="1"/>
      <x:c r="O5" s="1"/>
      <x:c r="P5" s="1" t="n">
        <x:v>0</x:v>
      </x:c>
      <x:c r="Q5" s="1" t="n">
        <x:v>0</x:v>
      </x:c>
      <x:c r="R5" s="1" t="n">
        <x:v>1</x:v>
      </x:c>
      <x:c r="S5" s="1" t="n">
        <x:v>0</x:v>
      </x:c>
      <x:c r="T5" s="1" t="n">
        <x:v>0</x:v>
      </x:c>
      <x:c r="U5" s="1" t="n">
        <x:v>0</x:v>
      </x:c>
      <x:c r="V5" s="7" t="n">
        <x:v>572</x:v>
      </x:c>
      <x:c r="W5" s="7" t="n">
        <x:v>2760</x:v>
      </x:c>
      <x:c r="X5" s="1" t="n">
        <x:v>0</x:v>
      </x:c>
      <x:c r="Y5" s="1" t="n">
        <x:v>0</x:v>
      </x:c>
      <x:c r="Z5" s="1" t="n">
        <x:v>0</x:v>
      </x:c>
      <x:c r="AA5" s="1" t="n">
        <x:v>0</x:v>
      </x:c>
      <x:c r="AB5" s="1" t="n">
        <x:v>0</x:v>
      </x:c>
      <x:c r="AC5" s="84"/>
      <x:c r="AD5" s="84"/>
      <x:c r="AE5" s="84"/>
      <x:c r="AF5" s="1" t="n">
        <x:v>1</x:v>
      </x:c>
      <x:c r="AG5" s="1" t="n">
        <x:v>4</x:v>
      </x:c>
      <x:c r="AH5" s="10" t="n">
        <x:v>46278.625</x:v>
      </x:c>
      <x:c r="AI5" s="1" t="str">
        <x:v>Gralha Imóveis</x:v>
      </x:c>
      <x:c r="AJ5" s="1" t="str">
        <x:v>Rua Padre Roma, Condomínio Ayrton Ramalho</x:v>
      </x:c>
      <x:c r="AK5" s="86" t="str">
        <x:v>https://www.gralhaimoveis.com.br/imovel/venda%2Bapartamento%2B2-quartos%2Bcentro%2Bflorianopolis%2Bsc%2B78m2%2Brs595000/165136500</x:v>
      </x:c>
      <x:c r="AL5" s="1" t="str">
        <x:v>Somente anúncio; confirmar com fonte e vistoria</x:v>
      </x:c>
      <x:c r="AM5" s="1" t="str">
        <x:v>Página direta exibia R$ 570.000 na consulta; slug ainda contém R$ 595.000. Conferir preço.</x:v>
      </x:c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</x:row>
    <x:row r="6">
      <x:c r="A6" s="1" t="str">
        <x:v>GR-34953</x:v>
      </x:c>
      <x:c r="B6" s="83" t="n">
        <x:v>1</x:v>
      </x:c>
      <x:c r="C6" s="1"/>
      <x:c r="D6" s="7" t="n">
        <x:v>815000</x:v>
      </x:c>
      <x:c r="E6" s="85" t="n">
        <x:f>IF(B6=1,D6,"")</x:f>
        <x:v>815000</x:v>
      </x:c>
      <x:c r="F6" s="8" t="n">
        <x:v>80.28</x:v>
      </x:c>
      <x:c r="G6" s="8" t="n">
        <x:v>125</x:v>
      </x:c>
      <x:c r="H6" s="85" t="n">
        <x:f>IF(AND(ISNUMBER(E6),ISNUMBER(F6),F6&gt;0),E6/F6,"")</x:f>
        <x:v>10151.968111609367</x:v>
      </x:c>
      <x:c r="I6" s="1" t="n">
        <x:v>3</x:v>
      </x:c>
      <x:c r="J6" s="1" t="n">
        <x:v>1</x:v>
      </x:c>
      <x:c r="K6" s="1" t="n">
        <x:v>2</x:v>
      </x:c>
      <x:c r="L6" s="1" t="n">
        <x:v>1</x:v>
      </x:c>
      <x:c r="M6" s="1" t="n">
        <x:v>1</x:v>
      </x:c>
      <x:c r="N6" s="1"/>
      <x:c r="O6" s="1"/>
      <x:c r="P6" s="1" t="n">
        <x:v>0</x:v>
      </x:c>
      <x:c r="Q6" s="1" t="n">
        <x:v>0</x:v>
      </x:c>
      <x:c r="R6" s="1" t="n">
        <x:v>0</x:v>
      </x:c>
      <x:c r="S6" s="1" t="n">
        <x:v>0</x:v>
      </x:c>
      <x:c r="T6" s="1" t="n">
        <x:v>0</x:v>
      </x:c>
      <x:c r="U6" s="1" t="n">
        <x:v>0</x:v>
      </x:c>
      <x:c r="V6" s="7" t="n">
        <x:v>1403</x:v>
      </x:c>
      <x:c r="W6" s="7" t="n">
        <x:v>1824</x:v>
      </x:c>
      <x:c r="X6" s="1" t="n">
        <x:v>0</x:v>
      </x:c>
      <x:c r="Y6" s="1" t="n">
        <x:v>1</x:v>
      </x:c>
      <x:c r="Z6" s="1" t="n">
        <x:v>0</x:v>
      </x:c>
      <x:c r="AA6" s="1" t="n">
        <x:v>0</x:v>
      </x:c>
      <x:c r="AB6" s="1" t="n">
        <x:v>0</x:v>
      </x:c>
      <x:c r="AC6" s="84"/>
      <x:c r="AD6" s="84"/>
      <x:c r="AE6" s="84"/>
      <x:c r="AF6" s="1" t="n">
        <x:v>1</x:v>
      </x:c>
      <x:c r="AG6" s="1" t="n">
        <x:v>4</x:v>
      </x:c>
      <x:c r="AH6" s="10" t="n">
        <x:v>46278.625</x:v>
      </x:c>
      <x:c r="AI6" s="1" t="str">
        <x:v>Gralha Imóveis</x:v>
      </x:c>
      <x:c r="AJ6" s="1" t="str">
        <x:v>Rua General Bittencourt</x:v>
      </x:c>
      <x:c r="AK6" s="86" t="str">
        <x:v>https://www.gralhaimoveis.com.br/imovel/venda%2Bapartamento%2B3-quartos%2Bcentro%2Bflorianopolis%2Bsc%2B80m2%2Brs800000/165133255</x:v>
      </x:c>
      <x:c r="AL6" s="1" t="str">
        <x:v>Somente anúncio; confirmar com fonte e vistoria</x:v>
      </x:c>
      <x:c r="AM6" s="1" t="str">
        <x:v>Piscina informada.</x:v>
      </x:c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</x:row>
    <x:row r="7">
      <x:c r="A7" s="1" t="str">
        <x:v>GR-40294</x:v>
      </x:c>
      <x:c r="B7" s="83" t="n">
        <x:v>1</x:v>
      </x:c>
      <x:c r="C7" s="1"/>
      <x:c r="D7" s="7" t="n">
        <x:v>1300000</x:v>
      </x:c>
      <x:c r="E7" s="85" t="n">
        <x:f>IF(B7=1,D7,"")</x:f>
        <x:v>1300000</x:v>
      </x:c>
      <x:c r="F7" s="8" t="n">
        <x:v>108</x:v>
      </x:c>
      <x:c r="G7" s="8" t="n">
        <x:v>134</x:v>
      </x:c>
      <x:c r="H7" s="85" t="n">
        <x:f>IF(AND(ISNUMBER(E7),ISNUMBER(F7),F7&gt;0),E7/F7,"")</x:f>
        <x:v>12037.037037037036</x:v>
      </x:c>
      <x:c r="I7" s="1" t="n">
        <x:v>3</x:v>
      </x:c>
      <x:c r="J7" s="1" t="n">
        <x:v>1</x:v>
      </x:c>
      <x:c r="K7" s="1" t="n">
        <x:v>2</x:v>
      </x:c>
      <x:c r="L7" s="1" t="n">
        <x:v>2</x:v>
      </x:c>
      <x:c r="M7" s="1"/>
      <x:c r="N7" s="1"/>
      <x:c r="O7" s="1"/>
      <x:c r="P7" s="1" t="n">
        <x:v>0</x:v>
      </x:c>
      <x:c r="Q7" s="1" t="n">
        <x:v>0</x:v>
      </x:c>
      <x:c r="R7" s="1" t="n">
        <x:v>0</x:v>
      </x:c>
      <x:c r="S7" s="1" t="n">
        <x:v>0</x:v>
      </x:c>
      <x:c r="T7" s="1" t="n">
        <x:v>0</x:v>
      </x:c>
      <x:c r="U7" s="1" t="n">
        <x:v>0</x:v>
      </x:c>
      <x:c r="V7" s="7" t="n">
        <x:v>925</x:v>
      </x:c>
      <x:c r="W7" s="7" t="n">
        <x:v>1572</x:v>
      </x:c>
      <x:c r="X7" s="1" t="n">
        <x:v>0</x:v>
      </x:c>
      <x:c r="Y7" s="1" t="n">
        <x:v>0</x:v>
      </x:c>
      <x:c r="Z7" s="1" t="n">
        <x:v>0</x:v>
      </x:c>
      <x:c r="AA7" s="1" t="n">
        <x:v>0</x:v>
      </x:c>
      <x:c r="AB7" s="1" t="n">
        <x:v>0</x:v>
      </x:c>
      <x:c r="AC7" s="84"/>
      <x:c r="AD7" s="84"/>
      <x:c r="AE7" s="84"/>
      <x:c r="AF7" s="1" t="n">
        <x:v>1</x:v>
      </x:c>
      <x:c r="AG7" s="1" t="n">
        <x:v>4</x:v>
      </x:c>
      <x:c r="AH7" s="10" t="n">
        <x:v>46278.625</x:v>
      </x:c>
      <x:c r="AI7" s="1" t="str">
        <x:v>Gralha Imóveis</x:v>
      </x:c>
      <x:c r="AJ7" s="1"/>
      <x:c r="AK7" s="86" t="str">
        <x:v>https://www.gralhaimoveis.com.br/imovel/venda%2Bapartamento%2B3-quartos%2Bcentro%2Bflorianopolis%2Bsc%2B108m2%2Brs1300000/165136798</x:v>
      </x:c>
      <x:c r="AL7" s="1" t="str">
        <x:v>Somente anúncio; confirmar com fonte e vistoria</x:v>
      </x:c>
      <x:c r="AM7" s="1" t="str">
        <x:v>Dependência convertida em escritório.</x:v>
      </x:c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</x:row>
    <x:row r="8">
      <x:c r="A8" s="1" t="str">
        <x:v>GR-41221</x:v>
      </x:c>
      <x:c r="B8" s="83" t="n">
        <x:v>1</x:v>
      </x:c>
      <x:c r="C8" s="1"/>
      <x:c r="D8" s="7" t="n">
        <x:v>1070000</x:v>
      </x:c>
      <x:c r="E8" s="85" t="n">
        <x:f>IF(B8=1,D8,"")</x:f>
        <x:v>1070000</x:v>
      </x:c>
      <x:c r="F8" s="8" t="n">
        <x:v>133</x:v>
      </x:c>
      <x:c r="G8" s="8" t="n">
        <x:v>145</x:v>
      </x:c>
      <x:c r="H8" s="85" t="n">
        <x:f>IF(AND(ISNUMBER(E8),ISNUMBER(F8),F8&gt;0),E8/F8,"")</x:f>
        <x:v>8045.112781954887</x:v>
      </x:c>
      <x:c r="I8" s="1" t="n">
        <x:v>4</x:v>
      </x:c>
      <x:c r="J8" s="1" t="n">
        <x:v>1</x:v>
      </x:c>
      <x:c r="K8" s="1" t="n">
        <x:v>2</x:v>
      </x:c>
      <x:c r="L8" s="1" t="n">
        <x:v>1</x:v>
      </x:c>
      <x:c r="M8" s="1" t="n">
        <x:v>0</x:v>
      </x:c>
      <x:c r="N8" s="1" t="n">
        <x:v>3</x:v>
      </x:c>
      <x:c r="O8" s="1"/>
      <x:c r="P8" s="1" t="n">
        <x:v>0</x:v>
      </x:c>
      <x:c r="Q8" s="1" t="n">
        <x:v>1</x:v>
      </x:c>
      <x:c r="R8" s="1" t="n">
        <x:v>0</x:v>
      </x:c>
      <x:c r="S8" s="1" t="n">
        <x:v>0</x:v>
      </x:c>
      <x:c r="T8" s="1" t="n">
        <x:v>0</x:v>
      </x:c>
      <x:c r="U8" s="1" t="n">
        <x:v>0</x:v>
      </x:c>
      <x:c r="V8" s="7" t="n">
        <x:v>825</x:v>
      </x:c>
      <x:c r="W8" s="7" t="n">
        <x:v>4764</x:v>
      </x:c>
      <x:c r="X8" s="1" t="n">
        <x:v>0</x:v>
      </x:c>
      <x:c r="Y8" s="1" t="n">
        <x:v>0</x:v>
      </x:c>
      <x:c r="Z8" s="1" t="n">
        <x:v>0</x:v>
      </x:c>
      <x:c r="AA8" s="1" t="n">
        <x:v>0</x:v>
      </x:c>
      <x:c r="AB8" s="1" t="n">
        <x:v>0</x:v>
      </x:c>
      <x:c r="AC8" s="84"/>
      <x:c r="AD8" s="84"/>
      <x:c r="AE8" s="84"/>
      <x:c r="AF8" s="1" t="n">
        <x:v>1</x:v>
      </x:c>
      <x:c r="AG8" s="1" t="n">
        <x:v>4</x:v>
      </x:c>
      <x:c r="AH8" s="10" t="n">
        <x:v>46278.625</x:v>
      </x:c>
      <x:c r="AI8" s="1" t="str">
        <x:v>Gralha Imóveis</x:v>
      </x:c>
      <x:c r="AJ8" s="1" t="str">
        <x:v>Rua Almirante Lamego</x:v>
      </x:c>
      <x:c r="AK8" s="86" t="str">
        <x:v>https://www.gralhaimoveis.com.br/imovel/venda%2Bapartamento%2B4-quartos%2Bcentro%2Bflorianopolis%2Bsc%2B133m2%2Brs1070000/165137549</x:v>
      </x:c>
      <x:c r="AL8" s="1" t="str">
        <x:v>Somente anúncio; confirmar com fonte e vistoria</x:v>
      </x:c>
      <x:c r="AM8" s="1" t="str">
        <x:v>Edifício sem elevador.</x:v>
      </x:c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</x:row>
    <x:row r="9">
      <x:c r="A9" s="1" t="str">
        <x:v>GR-41980</x:v>
      </x:c>
      <x:c r="B9" s="83" t="n">
        <x:v>1</x:v>
      </x:c>
      <x:c r="C9" s="1"/>
      <x:c r="D9" s="7" t="n">
        <x:v>1000000</x:v>
      </x:c>
      <x:c r="E9" s="85" t="n">
        <x:f>IF(B9=1,D9,"")</x:f>
        <x:v>1000000</x:v>
      </x:c>
      <x:c r="F9" s="8" t="n">
        <x:v>67</x:v>
      </x:c>
      <x:c r="G9" s="8" t="n">
        <x:v>100</x:v>
      </x:c>
      <x:c r="H9" s="85" t="n">
        <x:f>IF(AND(ISNUMBER(E9),ISNUMBER(F9),F9&gt;0),E9/F9,"")</x:f>
        <x:v>14925.373134328358</x:v>
      </x:c>
      <x:c r="I9" s="1" t="n">
        <x:v>2</x:v>
      </x:c>
      <x:c r="J9" s="1" t="n">
        <x:v>1</x:v>
      </x:c>
      <x:c r="K9" s="1" t="n">
        <x:v>2</x:v>
      </x:c>
      <x:c r="L9" s="1" t="n">
        <x:v>2</x:v>
      </x:c>
      <x:c r="M9" s="1" t="n">
        <x:v>1</x:v>
      </x:c>
      <x:c r="N9" s="1"/>
      <x:c r="O9" s="1" t="n">
        <x:v>1</x:v>
      </x:c>
      <x:c r="P9" s="1" t="n">
        <x:v>0</x:v>
      </x:c>
      <x:c r="Q9" s="1" t="n">
        <x:v>1</x:v>
      </x:c>
      <x:c r="R9" s="1" t="n">
        <x:v>0</x:v>
      </x:c>
      <x:c r="S9" s="1" t="n">
        <x:v>0</x:v>
      </x:c>
      <x:c r="T9" s="1" t="n">
        <x:v>0</x:v>
      </x:c>
      <x:c r="U9" s="1" t="n">
        <x:v>0</x:v>
      </x:c>
      <x:c r="V9" s="7" t="n">
        <x:v>994</x:v>
      </x:c>
      <x:c r="W9" s="7" t="n">
        <x:v>1440</x:v>
      </x:c>
      <x:c r="X9" s="1" t="n">
        <x:v>0</x:v>
      </x:c>
      <x:c r="Y9" s="1" t="n">
        <x:v>0</x:v>
      </x:c>
      <x:c r="Z9" s="1" t="n">
        <x:v>0</x:v>
      </x:c>
      <x:c r="AA9" s="1" t="n">
        <x:v>0</x:v>
      </x:c>
      <x:c r="AB9" s="1" t="n">
        <x:v>0</x:v>
      </x:c>
      <x:c r="AC9" s="84"/>
      <x:c r="AD9" s="84"/>
      <x:c r="AE9" s="84"/>
      <x:c r="AF9" s="1" t="n">
        <x:v>1</x:v>
      </x:c>
      <x:c r="AG9" s="1" t="n">
        <x:v>4</x:v>
      </x:c>
      <x:c r="AH9" s="10" t="n">
        <x:v>46278.625</x:v>
      </x:c>
      <x:c r="AI9" s="1" t="str">
        <x:v>Gralha Imóveis</x:v>
      </x:c>
      <x:c r="AJ9" s="1" t="str">
        <x:v>Avenida Mauro Ramos</x:v>
      </x:c>
      <x:c r="AK9" s="86" t="str">
        <x:v>https://www.gralhaimoveis.com.br/imovel/venda%2Bapartamento%2B2-quartos%2Bcentro%2Bflorianopolis%2Bsc%2B67m2%2Brs1000000/165138081</x:v>
      </x:c>
      <x:c r="AL9" s="1" t="str">
        <x:v>Somente anúncio; confirmar com fonte e vistoria</x:v>
      </x:c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</x:row>
    <x:row r="10">
      <x:c r="A10" s="1" t="str">
        <x:v>GR-25505</x:v>
      </x:c>
      <x:c r="B10" s="83" t="n">
        <x:v>1</x:v>
      </x:c>
      <x:c r="C10" s="1"/>
      <x:c r="D10" s="7" t="n">
        <x:v>2850000</x:v>
      </x:c>
      <x:c r="E10" s="85" t="n">
        <x:f>IF(B10=1,D10,"")</x:f>
        <x:v>2850000</x:v>
      </x:c>
      <x:c r="F10" s="8" t="n">
        <x:v>101</x:v>
      </x:c>
      <x:c r="G10" s="8" t="n">
        <x:v>137</x:v>
      </x:c>
      <x:c r="H10" s="85" t="n">
        <x:f>IF(AND(ISNUMBER(E10),ISNUMBER(F10),F10&gt;0),E10/F10,"")</x:f>
        <x:v>28217.821782178216</x:v>
      </x:c>
      <x:c r="I10" s="1" t="n">
        <x:v>2</x:v>
      </x:c>
      <x:c r="J10" s="1" t="n">
        <x:v>1</x:v>
      </x:c>
      <x:c r="K10" s="1" t="n">
        <x:v>2</x:v>
      </x:c>
      <x:c r="L10" s="1" t="n">
        <x:v>2</x:v>
      </x:c>
      <x:c r="M10" s="1" t="n">
        <x:v>1</x:v>
      </x:c>
      <x:c r="N10" s="1"/>
      <x:c r="O10" s="1"/>
      <x:c r="P10" s="1" t="n">
        <x:v>0</x:v>
      </x:c>
      <x:c r="Q10" s="1" t="n">
        <x:v>1</x:v>
      </x:c>
      <x:c r="R10" s="1" t="n">
        <x:v>0</x:v>
      </x:c>
      <x:c r="S10" s="1" t="n">
        <x:v>0</x:v>
      </x:c>
      <x:c r="T10" s="1" t="n">
        <x:v>0</x:v>
      </x:c>
      <x:c r="U10" s="1" t="n">
        <x:v>0</x:v>
      </x:c>
      <x:c r="V10" s="7" t="n">
        <x:v>1180</x:v>
      </x:c>
      <x:c r="W10" s="7" t="n">
        <x:v>1776</x:v>
      </x:c>
      <x:c r="X10" s="1" t="n">
        <x:v>0</x:v>
      </x:c>
      <x:c r="Y10" s="1" t="n">
        <x:v>0</x:v>
      </x:c>
      <x:c r="Z10" s="1" t="n">
        <x:v>0</x:v>
      </x:c>
      <x:c r="AA10" s="1" t="n">
        <x:v>0</x:v>
      </x:c>
      <x:c r="AB10" s="1" t="n">
        <x:v>0</x:v>
      </x:c>
      <x:c r="AC10" s="84"/>
      <x:c r="AD10" s="84"/>
      <x:c r="AE10" s="84"/>
      <x:c r="AF10" s="1" t="n">
        <x:v>1</x:v>
      </x:c>
      <x:c r="AG10" s="1" t="n">
        <x:v>4</x:v>
      </x:c>
      <x:c r="AH10" s="10" t="n">
        <x:v>46278.625</x:v>
      </x:c>
      <x:c r="AI10" s="1" t="str">
        <x:v>Gralha Imóveis</x:v>
      </x:c>
      <x:c r="AJ10" s="1" t="str">
        <x:v>Rua Duarte Schutel</x:v>
      </x:c>
      <x:c r="AK10" s="86" t="str">
        <x:v>https://www.gralhaimoveis.com.br/imovel/venda%2Bapartamento%2B2-quartos%2Bcentro%2Bflorianopolis%2Bsc%2B101m2%2Brs2850000/165124768</x:v>
      </x:c>
      <x:c r="AL10" s="1" t="str">
        <x:v>Somente anúncio; confirmar com fonte e vistoria</x:v>
      </x:c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</x:row>
    <x:row r="11">
      <x:c r="A11" s="1" t="str">
        <x:v>GR-41285</x:v>
      </x:c>
      <x:c r="B11" s="83" t="n">
        <x:v>0</x:v>
      </x:c>
      <x:c r="C11" s="1" t="str">
        <x:v>lançamento/construção ou preço de custo</x:v>
      </x:c>
      <x:c r="D11" s="7" t="n">
        <x:v>2100000</x:v>
      </x:c>
      <x:c r="E11" s="85" t="str">
        <x:f>IF(B11=1,D11,"")</x:f>
      </x:c>
      <x:c r="F11" s="8" t="n">
        <x:v>109</x:v>
      </x:c>
      <x:c r="G11" s="8" t="n">
        <x:v>190</x:v>
      </x:c>
      <x:c r="H11" s="85" t="str">
        <x:f>IF(AND(ISNUMBER(E11),ISNUMBER(F11),F11&gt;0),E11/F11,"")</x:f>
      </x:c>
      <x:c r="I11" s="1" t="n">
        <x:v>3</x:v>
      </x:c>
      <x:c r="J11" s="1" t="n">
        <x:v>3</x:v>
      </x:c>
      <x:c r="K11" s="1" t="n">
        <x:v>4</x:v>
      </x:c>
      <x:c r="L11" s="1" t="n">
        <x:v>2</x:v>
      </x:c>
      <x:c r="M11" s="1" t="n">
        <x:v>1</x:v>
      </x:c>
      <x:c r="N11" s="1"/>
      <x:c r="O11" s="1"/>
      <x:c r="P11" s="1" t="n">
        <x:v>0</x:v>
      </x:c>
      <x:c r="Q11" s="1" t="n">
        <x:v>0</x:v>
      </x:c>
      <x:c r="R11" s="1" t="n">
        <x:v>0</x:v>
      </x:c>
      <x:c r="S11" s="1" t="n">
        <x:v>0</x:v>
      </x:c>
      <x:c r="T11" s="1" t="n">
        <x:v>1</x:v>
      </x:c>
      <x:c r="U11" s="1" t="n">
        <x:v>0</x:v>
      </x:c>
      <x:c r="V11" s="7"/>
      <x:c r="W11" s="7"/>
      <x:c r="X11" s="1" t="n">
        <x:v>0</x:v>
      </x:c>
      <x:c r="Y11" s="1" t="n">
        <x:v>0</x:v>
      </x:c>
      <x:c r="Z11" s="1" t="n">
        <x:v>0</x:v>
      </x:c>
      <x:c r="AA11" s="1" t="n">
        <x:v>0</x:v>
      </x:c>
      <x:c r="AB11" s="1" t="n">
        <x:v>0</x:v>
      </x:c>
      <x:c r="AC11" s="84"/>
      <x:c r="AD11" s="84"/>
      <x:c r="AE11" s="84"/>
      <x:c r="AF11" s="1" t="n">
        <x:v>1</x:v>
      </x:c>
      <x:c r="AG11" s="1" t="n">
        <x:v>4</x:v>
      </x:c>
      <x:c r="AH11" s="10" t="n">
        <x:v>46278.625</x:v>
      </x:c>
      <x:c r="AI11" s="1" t="str">
        <x:v>Gralha Imóveis</x:v>
      </x:c>
      <x:c r="AJ11" s="1" t="str">
        <x:v>Rua Presidente Coutinho</x:v>
      </x:c>
      <x:c r="AK11" s="86" t="str">
        <x:v>https://www.gralhaimoveis.com.br/imovel/venda%2Bapartamento%2B3-quartos%2Bcentro%2Bflorianopolis%2Bsc%2B109m2%2Brs2100000/165137517</x:v>
      </x:c>
      <x:c r="AL11" s="1" t="str">
        <x:v>Somente anúncio; confirmar com fonte e vistoria</x:v>
      </x:c>
      <x:c r="AM11" s="1" t="str">
        <x:v>SPE/preço de custo; tratar separadamente de usados prontos.</x:v>
      </x:c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</x:row>
    <x:row r="12">
      <x:c r="A12" s="1" t="str">
        <x:v>GR-21457</x:v>
      </x:c>
      <x:c r="B12" s="83" t="n">
        <x:v>0</x:v>
      </x:c>
      <x:c r="C12" s="1" t="str">
        <x:v>conflito relevante no anúncio</x:v>
      </x:c>
      <x:c r="D12" s="7" t="n">
        <x:v>2150000</x:v>
      </x:c>
      <x:c r="E12" s="85" t="str">
        <x:f>IF(B12=1,D12,"")</x:f>
      </x:c>
      <x:c r="F12" s="8" t="n">
        <x:v>129.36</x:v>
      </x:c>
      <x:c r="G12" s="8" t="n">
        <x:v>165</x:v>
      </x:c>
      <x:c r="H12" s="85" t="str">
        <x:f>IF(AND(ISNUMBER(E12),ISNUMBER(F12),F12&gt;0),E12/F12,"")</x:f>
      </x:c>
      <x:c r="I12" s="1" t="n">
        <x:v>4</x:v>
      </x:c>
      <x:c r="J12" s="1" t="n">
        <x:v>2</x:v>
      </x:c>
      <x:c r="K12" s="1" t="n">
        <x:v>3</x:v>
      </x:c>
      <x:c r="L12" s="1" t="n">
        <x:v>2</x:v>
      </x:c>
      <x:c r="M12" s="1" t="n">
        <x:v>1</x:v>
      </x:c>
      <x:c r="N12" s="1"/>
      <x:c r="O12" s="1"/>
      <x:c r="P12" s="1" t="n">
        <x:v>0</x:v>
      </x:c>
      <x:c r="Q12" s="1" t="n">
        <x:v>1</x:v>
      </x:c>
      <x:c r="R12" s="1" t="n">
        <x:v>0</x:v>
      </x:c>
      <x:c r="S12" s="1" t="n">
        <x:v>0</x:v>
      </x:c>
      <x:c r="T12" s="1" t="n">
        <x:v>0</x:v>
      </x:c>
      <x:c r="U12" s="1" t="n">
        <x:v>0</x:v>
      </x:c>
      <x:c r="V12" s="7" t="n">
        <x:v>2576</x:v>
      </x:c>
      <x:c r="W12" s="7" t="n">
        <x:v>6264</x:v>
      </x:c>
      <x:c r="X12" s="1" t="n">
        <x:v>0</x:v>
      </x:c>
      <x:c r="Y12" s="1" t="n">
        <x:v>0</x:v>
      </x:c>
      <x:c r="Z12" s="1" t="n">
        <x:v>0</x:v>
      </x:c>
      <x:c r="AA12" s="1" t="n">
        <x:v>0</x:v>
      </x:c>
      <x:c r="AB12" s="1" t="n">
        <x:v>0</x:v>
      </x:c>
      <x:c r="AC12" s="84"/>
      <x:c r="AD12" s="84"/>
      <x:c r="AE12" s="84"/>
      <x:c r="AF12" s="1" t="n">
        <x:v>1</x:v>
      </x:c>
      <x:c r="AG12" s="1" t="n">
        <x:v>4</x:v>
      </x:c>
      <x:c r="AH12" s="10" t="n">
        <x:v>46278.625</x:v>
      </x:c>
      <x:c r="AI12" s="1" t="str">
        <x:v>Gralha Imóveis</x:v>
      </x:c>
      <x:c r="AJ12" s="1" t="str">
        <x:v>Rua Madalena Barbi</x:v>
      </x:c>
      <x:c r="AK12" s="86" t="str">
        <x:v>https://www.gralhaimoveis.com.br/imovel/venda%2Bapartamento%2B4-quartos%2Bcentro%2Bflorianopolis%2Bsc%2B129m2%2Brs1790000/165121682</x:v>
      </x:c>
      <x:c r="AL12" s="1" t="str">
        <x:v>Somente anúncio; confirmar com fonte e vistoria</x:v>
      </x:c>
      <x:c r="AM12" s="1" t="str">
        <x:v>Slug contém R$ 1.790.000; página exibia R$ 2.150.000 na consulta. Vista panorâmica.</x:v>
      </x:c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</x:row>
    <x:row r="13">
      <x:c r="A13" s="1" t="str">
        <x:v>GR-32875</x:v>
      </x:c>
      <x:c r="B13" s="83" t="n">
        <x:v>1</x:v>
      </x:c>
      <x:c r="C13" s="1"/>
      <x:c r="D13" s="7" t="n">
        <x:v>4150000</x:v>
      </x:c>
      <x:c r="E13" s="85" t="n">
        <x:f>IF(B13=1,D13,"")</x:f>
        <x:v>4150000</x:v>
      </x:c>
      <x:c r="F13" s="8" t="n">
        <x:v>140</x:v>
      </x:c>
      <x:c r="G13" s="8" t="n">
        <x:v>185</x:v>
      </x:c>
      <x:c r="H13" s="85" t="n">
        <x:f>IF(AND(ISNUMBER(E13),ISNUMBER(F13),F13&gt;0),E13/F13,"")</x:f>
        <x:v>29642.85714285714</x:v>
      </x:c>
      <x:c r="I13" s="1" t="n">
        <x:v>3</x:v>
      </x:c>
      <x:c r="J13" s="1" t="n">
        <x:v>1</x:v>
      </x:c>
      <x:c r="K13" s="1" t="n">
        <x:v>3</x:v>
      </x:c>
      <x:c r="L13" s="1" t="n">
        <x:v>3</x:v>
      </x:c>
      <x:c r="M13" s="1" t="n">
        <x:v>1</x:v>
      </x:c>
      <x:c r="N13" s="1"/>
      <x:c r="O13" s="1" t="n">
        <x:v>1</x:v>
      </x:c>
      <x:c r="P13" s="1" t="n">
        <x:v>0</x:v>
      </x:c>
      <x:c r="Q13" s="1" t="n">
        <x:v>1</x:v>
      </x:c>
      <x:c r="R13" s="1" t="n">
        <x:v>0</x:v>
      </x:c>
      <x:c r="S13" s="1" t="n">
        <x:v>0</x:v>
      </x:c>
      <x:c r="T13" s="1" t="n">
        <x:v>0</x:v>
      </x:c>
      <x:c r="U13" s="1" t="n">
        <x:v>1</x:v>
      </x:c>
      <x:c r="V13" s="7" t="n">
        <x:v>1029</x:v>
      </x:c>
      <x:c r="W13" s="7" t="n">
        <x:v>4800</x:v>
      </x:c>
      <x:c r="X13" s="1" t="n">
        <x:v>0</x:v>
      </x:c>
      <x:c r="Y13" s="1" t="n">
        <x:v>0</x:v>
      </x:c>
      <x:c r="Z13" s="1" t="n">
        <x:v>0</x:v>
      </x:c>
      <x:c r="AA13" s="1" t="n">
        <x:v>0</x:v>
      </x:c>
      <x:c r="AB13" s="1" t="n">
        <x:v>0</x:v>
      </x:c>
      <x:c r="AC13" s="84"/>
      <x:c r="AD13" s="84"/>
      <x:c r="AE13" s="84"/>
      <x:c r="AF13" s="1" t="n">
        <x:v>1</x:v>
      </x:c>
      <x:c r="AG13" s="1" t="n">
        <x:v>4</x:v>
      </x:c>
      <x:c r="AH13" s="10" t="n">
        <x:v>46278.625</x:v>
      </x:c>
      <x:c r="AI13" s="1" t="str">
        <x:v>Gralha Imóveis</x:v>
      </x:c>
      <x:c r="AJ13" s="1" t="str">
        <x:v>Avenida Trompowsky</x:v>
      </x:c>
      <x:c r="AK13" s="86" t="str">
        <x:v>https://www.gralhaimoveis.com.br/imovel/venda%2Bapartamento%2B3-quartos%2Bcentro%2Bflorianopolis%2Bsc%2B140m2%2Brs4150000/165130887</x:v>
      </x:c>
      <x:c r="AL13" s="1" t="str">
        <x:v>Somente anúncio; confirmar com fonte e vistoria</x:v>
      </x:c>
      <x:c r="AM13" s="1" t="str">
        <x:v>Vista para o mar.</x:v>
      </x:c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</x:row>
    <x:row r="14">
      <x:c r="A14" s="1" t="str">
        <x:v>GR-35452</x:v>
      </x:c>
      <x:c r="B14" s="83" t="n">
        <x:v>1</x:v>
      </x:c>
      <x:c r="C14" s="1"/>
      <x:c r="D14" s="7" t="n">
        <x:v>1250000</x:v>
      </x:c>
      <x:c r="E14" s="85" t="n">
        <x:f>IF(B14=1,D14,"")</x:f>
        <x:v>1250000</x:v>
      </x:c>
      <x:c r="F14" s="8" t="n">
        <x:v>81</x:v>
      </x:c>
      <x:c r="G14" s="8" t="n">
        <x:v>118</x:v>
      </x:c>
      <x:c r="H14" s="85" t="n">
        <x:f>IF(AND(ISNUMBER(E14),ISNUMBER(F14),F14&gt;0),E14/F14,"")</x:f>
        <x:v>15432.098765432098</x:v>
      </x:c>
      <x:c r="I14" s="1" t="n">
        <x:v>3</x:v>
      </x:c>
      <x:c r="J14" s="1" t="n">
        <x:v>1</x:v>
      </x:c>
      <x:c r="K14" s="1" t="n">
        <x:v>2</x:v>
      </x:c>
      <x:c r="L14" s="1" t="n">
        <x:v>1</x:v>
      </x:c>
      <x:c r="M14" s="1" t="n">
        <x:v>1</x:v>
      </x:c>
      <x:c r="N14" s="1"/>
      <x:c r="O14" s="1"/>
      <x:c r="P14" s="1" t="n">
        <x:v>0</x:v>
      </x:c>
      <x:c r="Q14" s="1" t="n">
        <x:v>0</x:v>
      </x:c>
      <x:c r="R14" s="1" t="n">
        <x:v>0</x:v>
      </x:c>
      <x:c r="S14" s="1" t="n">
        <x:v>0</x:v>
      </x:c>
      <x:c r="T14" s="1" t="n">
        <x:v>0</x:v>
      </x:c>
      <x:c r="U14" s="1" t="n">
        <x:v>0</x:v>
      </x:c>
      <x:c r="V14" s="7" t="n">
        <x:v>886</x:v>
      </x:c>
      <x:c r="W14" s="7" t="n">
        <x:v>912</x:v>
      </x:c>
      <x:c r="X14" s="1" t="n">
        <x:v>0</x:v>
      </x:c>
      <x:c r="Y14" s="1" t="n">
        <x:v>0</x:v>
      </x:c>
      <x:c r="Z14" s="1" t="n">
        <x:v>0</x:v>
      </x:c>
      <x:c r="AA14" s="1" t="n">
        <x:v>0</x:v>
      </x:c>
      <x:c r="AB14" s="1" t="n">
        <x:v>0</x:v>
      </x:c>
      <x:c r="AC14" s="84"/>
      <x:c r="AD14" s="84"/>
      <x:c r="AE14" s="84"/>
      <x:c r="AF14" s="1" t="n">
        <x:v>1</x:v>
      </x:c>
      <x:c r="AG14" s="1" t="n">
        <x:v>4</x:v>
      </x:c>
      <x:c r="AH14" s="10" t="n">
        <x:v>46278.625</x:v>
      </x:c>
      <x:c r="AI14" s="1" t="str">
        <x:v>Gralha Imóveis</x:v>
      </x:c>
      <x:c r="AJ14" s="1" t="str">
        <x:v>Rua Rafael Bandeira</x:v>
      </x:c>
      <x:c r="AK14" s="86" t="str">
        <x:v>https://www.gralhaimoveis.com.br/imovel/venda%2Bapartamento%2B3-quartos%2Bcentro%2Bflorianopolis%2Bsc%2B81m2%2Brs1250000/165133590</x:v>
      </x:c>
      <x:c r="AL14" s="1" t="str">
        <x:v>Somente anúncio; confirmar com fonte e vistoria</x:v>
      </x:c>
      <x:c r="AM14" s="1" t="str">
        <x:v>Elevadores e salão de festas.</x:v>
      </x:c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</x:row>
    <x:row r="15">
      <x:c r="A15" s="1" t="str">
        <x:v>GR-39119</x:v>
      </x:c>
      <x:c r="B15" s="83" t="n">
        <x:v>1</x:v>
      </x:c>
      <x:c r="C15" s="1"/>
      <x:c r="D15" s="7" t="n">
        <x:v>1350000</x:v>
      </x:c>
      <x:c r="E15" s="85" t="n">
        <x:f>IF(B15=1,D15,"")</x:f>
        <x:v>1350000</x:v>
      </x:c>
      <x:c r="F15" s="8" t="n">
        <x:v>140</x:v>
      </x:c>
      <x:c r="G15" s="8" t="n">
        <x:v>191</x:v>
      </x:c>
      <x:c r="H15" s="85" t="n">
        <x:f>IF(AND(ISNUMBER(E15),ISNUMBER(F15),F15&gt;0),E15/F15,"")</x:f>
        <x:v>9642.857142857143</x:v>
      </x:c>
      <x:c r="I15" s="1" t="n">
        <x:v>4</x:v>
      </x:c>
      <x:c r="J15" s="1" t="n">
        <x:v>1</x:v>
      </x:c>
      <x:c r="K15" s="1" t="n">
        <x:v>3</x:v>
      </x:c>
      <x:c r="L15" s="1" t="n">
        <x:v>2</x:v>
      </x:c>
      <x:c r="M15" s="1" t="n">
        <x:v>1</x:v>
      </x:c>
      <x:c r="N15" s="1"/>
      <x:c r="O15" s="1"/>
      <x:c r="P15" s="1" t="n">
        <x:v>0</x:v>
      </x:c>
      <x:c r="Q15" s="1" t="n">
        <x:v>0</x:v>
      </x:c>
      <x:c r="R15" s="1" t="n">
        <x:v>0</x:v>
      </x:c>
      <x:c r="S15" s="1" t="n">
        <x:v>0</x:v>
      </x:c>
      <x:c r="T15" s="1" t="n">
        <x:v>0</x:v>
      </x:c>
      <x:c r="U15" s="1" t="n">
        <x:v>0</x:v>
      </x:c>
      <x:c r="V15" s="7" t="n">
        <x:v>1500</x:v>
      </x:c>
      <x:c r="W15" s="7" t="n">
        <x:v>4920</x:v>
      </x:c>
      <x:c r="X15" s="1" t="n">
        <x:v>1</x:v>
      </x:c>
      <x:c r="Y15" s="1" t="n">
        <x:v>0</x:v>
      </x:c>
      <x:c r="Z15" s="1" t="n">
        <x:v>0</x:v>
      </x:c>
      <x:c r="AA15" s="1" t="n">
        <x:v>0</x:v>
      </x:c>
      <x:c r="AB15" s="1" t="n">
        <x:v>0</x:v>
      </x:c>
      <x:c r="AC15" s="84"/>
      <x:c r="AD15" s="84"/>
      <x:c r="AE15" s="84"/>
      <x:c r="AF15" s="1" t="n">
        <x:v>1</x:v>
      </x:c>
      <x:c r="AG15" s="1" t="n">
        <x:v>4</x:v>
      </x:c>
      <x:c r="AH15" s="10" t="n">
        <x:v>46278.625</x:v>
      </x:c>
      <x:c r="AI15" s="1" t="str">
        <x:v>Gralha Imóveis</x:v>
      </x:c>
      <x:c r="AJ15" s="1" t="str">
        <x:v>Rua Ferreira Lima</x:v>
      </x:c>
      <x:c r="AK15" s="86" t="str">
        <x:v>https://www.gralhaimoveis.com.br/imovel/venda%2Bapartamento%2B4-quartos%2Bcentro%2Bflorianopolis%2Bsc%2B140m2%2Brs1350000/165135876</x:v>
      </x:c>
      <x:c r="AL15" s="1" t="str">
        <x:v>Somente anúncio; confirmar com fonte e vistoria</x:v>
      </x:c>
      <x:c r="AM15" s="1" t="str">
        <x:v>Portaria 24 h; elevadores social e de serviço.</x:v>
      </x:c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</x:row>
    <x:row r="16">
      <x:c r="A16" s="1" t="str">
        <x:v>GR-165139116</x:v>
      </x:c>
      <x:c r="B16" s="83" t="n">
        <x:v>1</x:v>
      </x:c>
      <x:c r="C16" s="1"/>
      <x:c r="D16" s="7" t="n">
        <x:v>1980000</x:v>
      </x:c>
      <x:c r="E16" s="85" t="n">
        <x:f>IF(B16=1,D16,"")</x:f>
        <x:v>1980000</x:v>
      </x:c>
      <x:c r="F16" s="8" t="n">
        <x:v>96.96</x:v>
      </x:c>
      <x:c r="G16" s="8" t="n">
        <x:v>159</x:v>
      </x:c>
      <x:c r="H16" s="85" t="n">
        <x:f>IF(AND(ISNUMBER(E16),ISNUMBER(F16),F16&gt;0),E16/F16,"")</x:f>
        <x:v>20420.79207920792</x:v>
      </x:c>
      <x:c r="I16" s="1" t="n">
        <x:v>3</x:v>
      </x:c>
      <x:c r="J16" s="1" t="n">
        <x:v>1</x:v>
      </x:c>
      <x:c r="K16" s="1" t="n">
        <x:v>3</x:v>
      </x:c>
      <x:c r="L16" s="1" t="n">
        <x:v>1</x:v>
      </x:c>
      <x:c r="M16" s="1" t="n">
        <x:v>1</x:v>
      </x:c>
      <x:c r="N16" s="1"/>
      <x:c r="O16" s="1"/>
      <x:c r="P16" s="1" t="n">
        <x:v>0</x:v>
      </x:c>
      <x:c r="Q16" s="1" t="n">
        <x:v>0</x:v>
      </x:c>
      <x:c r="R16" s="1" t="n">
        <x:v>0</x:v>
      </x:c>
      <x:c r="S16" s="1" t="n">
        <x:v>0</x:v>
      </x:c>
      <x:c r="T16" s="1" t="n">
        <x:v>0</x:v>
      </x:c>
      <x:c r="U16" s="1" t="n">
        <x:v>0</x:v>
      </x:c>
      <x:c r="V16" s="7" t="n">
        <x:v>1101</x:v>
      </x:c>
      <x:c r="W16" s="7" t="n">
        <x:v>4200</x:v>
      </x:c>
      <x:c r="X16" s="1" t="n">
        <x:v>0</x:v>
      </x:c>
      <x:c r="Y16" s="1" t="n">
        <x:v>0</x:v>
      </x:c>
      <x:c r="Z16" s="1" t="n">
        <x:v>0</x:v>
      </x:c>
      <x:c r="AA16" s="1" t="n">
        <x:v>0</x:v>
      </x:c>
      <x:c r="AB16" s="1" t="n">
        <x:v>0</x:v>
      </x:c>
      <x:c r="AC16" s="84"/>
      <x:c r="AD16" s="84"/>
      <x:c r="AE16" s="84"/>
      <x:c r="AF16" s="1" t="n">
        <x:v>1</x:v>
      </x:c>
      <x:c r="AG16" s="1" t="n">
        <x:v>4</x:v>
      </x:c>
      <x:c r="AH16" s="10" t="n">
        <x:v>46278.625</x:v>
      </x:c>
      <x:c r="AI16" s="1" t="str">
        <x:v>Gralha Imóveis</x:v>
      </x:c>
      <x:c r="AJ16" s="1" t="str">
        <x:v>Junto ao Parque da Luz</x:v>
      </x:c>
      <x:c r="AK16" s="86" t="str">
        <x:v>https://www.gralhaimoveis.com.br/imovel/venda%2Bapartamento%2B3-quartos%2Bcentro%2Bflorianopolis%2Bsc%2B96m2%2Brs1980000/165139116</x:v>
      </x:c>
      <x:c r="AL16" s="1" t="str">
        <x:v>Somente anúncio; confirmar com fonte e vistoria</x:v>
      </x:c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</x:row>
    <x:row r="17">
      <x:c r="A17" s="1" t="str">
        <x:v>GR-165129246</x:v>
      </x:c>
      <x:c r="B17" s="83" t="n">
        <x:v>1</x:v>
      </x:c>
      <x:c r="C17" s="1"/>
      <x:c r="D17" s="7" t="n">
        <x:v>1950000</x:v>
      </x:c>
      <x:c r="E17" s="85" t="n">
        <x:f>IF(B17=1,D17,"")</x:f>
        <x:v>1950000</x:v>
      </x:c>
      <x:c r="F17" s="8" t="n">
        <x:v>83</x:v>
      </x:c>
      <x:c r="G17" s="8" t="n">
        <x:v>108</x:v>
      </x:c>
      <x:c r="H17" s="85" t="n">
        <x:f>IF(AND(ISNUMBER(E17),ISNUMBER(F17),F17&gt;0),E17/F17,"")</x:f>
        <x:v>23493.975903614457</x:v>
      </x:c>
      <x:c r="I17" s="1" t="n">
        <x:v>3</x:v>
      </x:c>
      <x:c r="J17" s="1" t="n">
        <x:v>1</x:v>
      </x:c>
      <x:c r="K17" s="1" t="n">
        <x:v>2</x:v>
      </x:c>
      <x:c r="L17" s="1" t="n">
        <x:v>2</x:v>
      </x:c>
      <x:c r="M17" s="1" t="n">
        <x:v>1</x:v>
      </x:c>
      <x:c r="N17" s="1"/>
      <x:c r="O17" s="1"/>
      <x:c r="P17" s="1" t="n">
        <x:v>0</x:v>
      </x:c>
      <x:c r="Q17" s="1" t="n">
        <x:v>0</x:v>
      </x:c>
      <x:c r="R17" s="1" t="n">
        <x:v>0</x:v>
      </x:c>
      <x:c r="S17" s="1" t="n">
        <x:v>0</x:v>
      </x:c>
      <x:c r="T17" s="1" t="n">
        <x:v>0</x:v>
      </x:c>
      <x:c r="U17" s="1" t="n">
        <x:v>0</x:v>
      </x:c>
      <x:c r="V17" s="7" t="n">
        <x:v>1000</x:v>
      </x:c>
      <x:c r="W17" s="7" t="n">
        <x:v>3216</x:v>
      </x:c>
      <x:c r="X17" s="1" t="n">
        <x:v>0</x:v>
      </x:c>
      <x:c r="Y17" s="1" t="n">
        <x:v>0</x:v>
      </x:c>
      <x:c r="Z17" s="1" t="n">
        <x:v>0</x:v>
      </x:c>
      <x:c r="AA17" s="1" t="n">
        <x:v>0</x:v>
      </x:c>
      <x:c r="AB17" s="1" t="n">
        <x:v>0</x:v>
      </x:c>
      <x:c r="AC17" s="84"/>
      <x:c r="AD17" s="84"/>
      <x:c r="AE17" s="84"/>
      <x:c r="AF17" s="1" t="n">
        <x:v>1</x:v>
      </x:c>
      <x:c r="AG17" s="1" t="n">
        <x:v>4</x:v>
      </x:c>
      <x:c r="AH17" s="10" t="n">
        <x:v>46278.625</x:v>
      </x:c>
      <x:c r="AI17" s="1" t="str">
        <x:v>Gralha Imóveis</x:v>
      </x:c>
      <x:c r="AJ17" s="1" t="str">
        <x:v>Rua São Jorge</x:v>
      </x:c>
      <x:c r="AK17" s="86" t="str">
        <x:v>https://www.gralhaimoveis.com.br/imovel/venda%2Bapartamento%2B3-quartos%2Bcentro%2Bflorianopolis%2Bsc%2B83m2%2Brs1950000/165129246</x:v>
      </x:c>
      <x:c r="AL17" s="1" t="str">
        <x:v>Somente anúncio; confirmar com fonte e vistoria</x:v>
      </x:c>
      <x:c r="AM17" s="1" t="str">
        <x:v>Vista panorâmica.</x:v>
      </x:c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</x:row>
    <x:row r="18">
      <x:c r="A18" s="1" t="str">
        <x:v>GR-165129103</x:v>
      </x:c>
      <x:c r="B18" s="83" t="n">
        <x:v>0</x:v>
      </x:c>
      <x:c r="C18" s="1" t="str">
        <x:v>lançamento/construção ou preço de custo; conflito relevante no anúncio</x:v>
      </x:c>
      <x:c r="D18" s="7" t="n">
        <x:v>3000000</x:v>
      </x:c>
      <x:c r="E18" s="85" t="str">
        <x:f>IF(B18=1,D18,"")</x:f>
      </x:c>
      <x:c r="F18" s="8" t="n">
        <x:v>148</x:v>
      </x:c>
      <x:c r="G18" s="8" t="n">
        <x:v>180</x:v>
      </x:c>
      <x:c r="H18" s="85" t="str">
        <x:f>IF(AND(ISNUMBER(E18),ISNUMBER(F18),F18&gt;0),E18/F18,"")</x:f>
      </x:c>
      <x:c r="I18" s="1" t="n">
        <x:v>3</x:v>
      </x:c>
      <x:c r="J18" s="1" t="n">
        <x:v>3</x:v>
      </x:c>
      <x:c r="K18" s="1" t="n">
        <x:v>4</x:v>
      </x:c>
      <x:c r="L18" s="1" t="n">
        <x:v>2</x:v>
      </x:c>
      <x:c r="M18" s="1" t="n">
        <x:v>1</x:v>
      </x:c>
      <x:c r="N18" s="1"/>
      <x:c r="O18" s="1"/>
      <x:c r="P18" s="1" t="n">
        <x:v>0</x:v>
      </x:c>
      <x:c r="Q18" s="1" t="n">
        <x:v>0</x:v>
      </x:c>
      <x:c r="R18" s="1" t="n">
        <x:v>0</x:v>
      </x:c>
      <x:c r="S18" s="1" t="n">
        <x:v>0</x:v>
      </x:c>
      <x:c r="T18" s="1" t="n">
        <x:v>1</x:v>
      </x:c>
      <x:c r="U18" s="1" t="n">
        <x:v>0</x:v>
      </x:c>
      <x:c r="V18" s="7"/>
      <x:c r="W18" s="7"/>
      <x:c r="X18" s="1" t="n">
        <x:v>0</x:v>
      </x:c>
      <x:c r="Y18" s="1" t="n">
        <x:v>0</x:v>
      </x:c>
      <x:c r="Z18" s="1" t="n">
        <x:v>0</x:v>
      </x:c>
      <x:c r="AA18" s="1" t="n">
        <x:v>0</x:v>
      </x:c>
      <x:c r="AB18" s="1" t="n">
        <x:v>0</x:v>
      </x:c>
      <x:c r="AC18" s="84"/>
      <x:c r="AD18" s="84"/>
      <x:c r="AE18" s="84"/>
      <x:c r="AF18" s="1" t="n">
        <x:v>1</x:v>
      </x:c>
      <x:c r="AG18" s="1" t="n">
        <x:v>4</x:v>
      </x:c>
      <x:c r="AH18" s="10" t="n">
        <x:v>46278.625</x:v>
      </x:c>
      <x:c r="AI18" s="1" t="str">
        <x:v>Gralha Imóveis</x:v>
      </x:c>
      <x:c r="AJ18" s="1" t="str">
        <x:v>Rua Diniz Júnior</x:v>
      </x:c>
      <x:c r="AK18" s="86" t="str">
        <x:v>https://www.gralhaimoveis.com.br/imovel/venda%2Bapartamento%2B3-quartos%2Bcentro%2Bflorianopolis%2Bsc%2B151m2%2Brs2400000/165129103</x:v>
      </x:c>
      <x:c r="AL18" s="1" t="str">
        <x:v>Somente anúncio; confirmar com fonte e vistoria</x:v>
      </x:c>
      <x:c r="AM18" s="1" t="str">
        <x:v>Slug indica 151 m² e R$ 2.400.000; página exibia 148 m² e R$ 3.000.000. Validar antes do uso.</x:v>
      </x:c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</x:row>
    <x:row r="19">
      <x:c r="A19" s="1" t="str">
        <x:v>GR-36062</x:v>
      </x:c>
      <x:c r="B19" s="83" t="n">
        <x:v>1</x:v>
      </x:c>
      <x:c r="C19" s="1"/>
      <x:c r="D19" s="7" t="n">
        <x:v>2460000</x:v>
      </x:c>
      <x:c r="E19" s="85" t="n">
        <x:f>IF(B19=1,D19,"")</x:f>
        <x:v>2460000</x:v>
      </x:c>
      <x:c r="F19" s="8" t="n">
        <x:v>112</x:v>
      </x:c>
      <x:c r="G19" s="8" t="n">
        <x:v>159</x:v>
      </x:c>
      <x:c r="H19" s="85" t="n">
        <x:f>IF(AND(ISNUMBER(E19),ISNUMBER(F19),F19&gt;0),E19/F19,"")</x:f>
        <x:v>21964.285714285714</x:v>
      </x:c>
      <x:c r="I19" s="1" t="n">
        <x:v>2</x:v>
      </x:c>
      <x:c r="J19" s="1" t="n">
        <x:v>2</x:v>
      </x:c>
      <x:c r="K19" s="1" t="n">
        <x:v>3</x:v>
      </x:c>
      <x:c r="L19" s="1" t="n">
        <x:v>2</x:v>
      </x:c>
      <x:c r="M19" s="1" t="n">
        <x:v>1</x:v>
      </x:c>
      <x:c r="N19" s="1"/>
      <x:c r="O19" s="1"/>
      <x:c r="P19" s="1" t="n">
        <x:v>0</x:v>
      </x:c>
      <x:c r="Q19" s="1" t="n">
        <x:v>0</x:v>
      </x:c>
      <x:c r="R19" s="1" t="n">
        <x:v>0</x:v>
      </x:c>
      <x:c r="S19" s="1" t="n">
        <x:v>0</x:v>
      </x:c>
      <x:c r="T19" s="1" t="n">
        <x:v>0</x:v>
      </x:c>
      <x:c r="U19" s="1" t="n">
        <x:v>0</x:v>
      </x:c>
      <x:c r="V19" s="7" t="n">
        <x:v>1047</x:v>
      </x:c>
      <x:c r="W19" s="7" t="n">
        <x:v>5460</x:v>
      </x:c>
      <x:c r="X19" s="1" t="n">
        <x:v>0</x:v>
      </x:c>
      <x:c r="Y19" s="1" t="n">
        <x:v>0</x:v>
      </x:c>
      <x:c r="Z19" s="1" t="n">
        <x:v>0</x:v>
      </x:c>
      <x:c r="AA19" s="1" t="n">
        <x:v>0</x:v>
      </x:c>
      <x:c r="AB19" s="1" t="n">
        <x:v>0</x:v>
      </x:c>
      <x:c r="AC19" s="84"/>
      <x:c r="AD19" s="84"/>
      <x:c r="AE19" s="84"/>
      <x:c r="AF19" s="1" t="n">
        <x:v>1</x:v>
      </x:c>
      <x:c r="AG19" s="1" t="n">
        <x:v>4</x:v>
      </x:c>
      <x:c r="AH19" s="10" t="n">
        <x:v>46278.625</x:v>
      </x:c>
      <x:c r="AI19" s="1" t="str">
        <x:v>Gralha Imóveis</x:v>
      </x:c>
      <x:c r="AJ19" s="1" t="str">
        <x:v>Rua Desembargador Arno Hoeschl</x:v>
      </x:c>
      <x:c r="AK19" s="86" t="str">
        <x:v>https://www.gralhaimoveis.com.br/imovel/venda%2Bapartamento%2B2-quartos%2Bcentro%2Bflorianopolis%2Bsc%2B112m2%2Brs2460000/165133778</x:v>
      </x:c>
      <x:c r="AL19" s="1" t="str">
        <x:v>Somente anúncio; confirmar com fonte e vistoria</x:v>
      </x:c>
      <x:c r="AM19" s="1" t="str">
        <x:v>Vista parcial para o mar; dois elevadores.</x:v>
      </x:c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</x:row>
    <x:row r="20">
      <x:c r="A20" s="1" t="str">
        <x:v>GR-165139410</x:v>
      </x:c>
      <x:c r="B20" s="83" t="n">
        <x:v>0</x:v>
      </x:c>
      <x:c r="C20" s="1" t="str">
        <x:v>conflito relevante no anúncio</x:v>
      </x:c>
      <x:c r="D20" s="7" t="n">
        <x:v>1400000</x:v>
      </x:c>
      <x:c r="E20" s="85" t="str">
        <x:f>IF(B20=1,D20,"")</x:f>
      </x:c>
      <x:c r="F20" s="8" t="n">
        <x:v>81</x:v>
      </x:c>
      <x:c r="G20" s="8" t="n">
        <x:v>119</x:v>
      </x:c>
      <x:c r="H20" s="85" t="str">
        <x:f>IF(AND(ISNUMBER(E20),ISNUMBER(F20),F20&gt;0),E20/F20,"")</x:f>
      </x:c>
      <x:c r="I20" s="1" t="n">
        <x:v>2</x:v>
      </x:c>
      <x:c r="J20" s="1" t="n">
        <x:v>2</x:v>
      </x:c>
      <x:c r="K20" s="1"/>
      <x:c r="L20" s="1"/>
      <x:c r="M20" s="1"/>
      <x:c r="N20" s="1"/>
      <x:c r="O20" s="1"/>
      <x:c r="P20" s="1" t="n">
        <x:v>0</x:v>
      </x:c>
      <x:c r="Q20" s="1" t="n">
        <x:v>0</x:v>
      </x:c>
      <x:c r="R20" s="1" t="n">
        <x:v>0</x:v>
      </x:c>
      <x:c r="S20" s="1" t="n">
        <x:v>0</x:v>
      </x:c>
      <x:c r="T20" s="1" t="n">
        <x:v>0</x:v>
      </x:c>
      <x:c r="U20" s="1" t="n">
        <x:v>0</x:v>
      </x:c>
      <x:c r="V20" s="7" t="n">
        <x:v>1934</x:v>
      </x:c>
      <x:c r="W20" s="7" t="n">
        <x:v>3120</x:v>
      </x:c>
      <x:c r="X20" s="1" t="n">
        <x:v>0</x:v>
      </x:c>
      <x:c r="Y20" s="1" t="n">
        <x:v>0</x:v>
      </x:c>
      <x:c r="Z20" s="1" t="n">
        <x:v>0</x:v>
      </x:c>
      <x:c r="AA20" s="1" t="n">
        <x:v>0</x:v>
      </x:c>
      <x:c r="AB20" s="1" t="n">
        <x:v>0</x:v>
      </x:c>
      <x:c r="AC20" s="84"/>
      <x:c r="AD20" s="84"/>
      <x:c r="AE20" s="84"/>
      <x:c r="AF20" s="1" t="n">
        <x:v>1</x:v>
      </x:c>
      <x:c r="AG20" s="1" t="n">
        <x:v>4</x:v>
      </x:c>
      <x:c r="AH20" s="10" t="n">
        <x:v>46278.625</x:v>
      </x:c>
      <x:c r="AI20" s="1" t="str">
        <x:v>Gralha Imóveis</x:v>
      </x:c>
      <x:c r="AJ20" s="1"/>
      <x:c r="AK20" s="86" t="str">
        <x:v>https://www.gralhaimoveis.com.br/imovel/venda%2Bapartamento%2B2-quartos%2Bcentro%2Bflorianopolis%2Bsc%2B81m2%2Brs1400000/165139410</x:v>
      </x:c>
      <x:c r="AL20" s="1" t="str">
        <x:v>Somente anúncio; confirmar com fonte e vistoria</x:v>
      </x:c>
      <x:c r="AM20" s="1" t="str">
        <x:v>Banheiros e vagas não extraídos; validar antes do uso.</x:v>
      </x:c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</x:row>
    <x:row r="21">
      <x:c r="A21" s="1" t="str">
        <x:v>GR-40819</x:v>
      </x:c>
      <x:c r="B21" s="83" t="n">
        <x:v>0</x:v>
      </x:c>
      <x:c r="C21" s="1" t="str">
        <x:v>conflito relevante no anúncio</x:v>
      </x:c>
      <x:c r="D21" s="7" t="n">
        <x:v>1390000</x:v>
      </x:c>
      <x:c r="E21" s="85" t="str">
        <x:f>IF(B21=1,D21,"")</x:f>
      </x:c>
      <x:c r="F21" s="8" t="n">
        <x:v>131</x:v>
      </x:c>
      <x:c r="G21" s="8" t="n">
        <x:v>173</x:v>
      </x:c>
      <x:c r="H21" s="85" t="str">
        <x:f>IF(AND(ISNUMBER(E21),ISNUMBER(F21),F21&gt;0),E21/F21,"")</x:f>
      </x:c>
      <x:c r="I21" s="1" t="n">
        <x:v>3</x:v>
      </x:c>
      <x:c r="J21" s="1" t="n">
        <x:v>1</x:v>
      </x:c>
      <x:c r="K21" s="1" t="n">
        <x:v>4</x:v>
      </x:c>
      <x:c r="L21" s="1" t="n">
        <x:v>1</x:v>
      </x:c>
      <x:c r="M21" s="1" t="n">
        <x:v>1</x:v>
      </x:c>
      <x:c r="N21" s="1"/>
      <x:c r="O21" s="1" t="n">
        <x:v>1</x:v>
      </x:c>
      <x:c r="P21" s="1" t="n">
        <x:v>0</x:v>
      </x:c>
      <x:c r="Q21" s="1" t="n">
        <x:v>0</x:v>
      </x:c>
      <x:c r="R21" s="1" t="n">
        <x:v>0</x:v>
      </x:c>
      <x:c r="S21" s="1" t="n">
        <x:v>0</x:v>
      </x:c>
      <x:c r="T21" s="1" t="n">
        <x:v>0</x:v>
      </x:c>
      <x:c r="U21" s="1" t="n">
        <x:v>0</x:v>
      </x:c>
      <x:c r="V21" s="7" t="n">
        <x:v>2000</x:v>
      </x:c>
      <x:c r="W21" s="7" t="n">
        <x:v>5400</x:v>
      </x:c>
      <x:c r="X21" s="1" t="n">
        <x:v>0</x:v>
      </x:c>
      <x:c r="Y21" s="1" t="n">
        <x:v>0</x:v>
      </x:c>
      <x:c r="Z21" s="1" t="n">
        <x:v>0</x:v>
      </x:c>
      <x:c r="AA21" s="1" t="n">
        <x:v>0</x:v>
      </x:c>
      <x:c r="AB21" s="1" t="n">
        <x:v>0</x:v>
      </x:c>
      <x:c r="AC21" s="84"/>
      <x:c r="AD21" s="84"/>
      <x:c r="AE21" s="84"/>
      <x:c r="AF21" s="1" t="n">
        <x:v>1</x:v>
      </x:c>
      <x:c r="AG21" s="1" t="n">
        <x:v>4</x:v>
      </x:c>
      <x:c r="AH21" s="10" t="n">
        <x:v>46278.625</x:v>
      </x:c>
      <x:c r="AI21" s="1" t="str">
        <x:v>Gralha Imóveis</x:v>
      </x:c>
      <x:c r="AJ21" s="1" t="str">
        <x:v>Rua Presidente Coutinho</x:v>
      </x:c>
      <x:c r="AK21" s="86" t="str">
        <x:v>https://www.gralhaimoveis.com.br/imovel/venda%2Bapartamento%2B3-quartos%2Bcentro%2Bflorianopolis%2Bsc%2B131m2%2Brs1490000/165137302</x:v>
      </x:c>
      <x:c r="AL21" s="1" t="str">
        <x:v>Somente anúncio; confirmar com fonte e vistoria</x:v>
      </x:c>
      <x:c r="AM21" s="1" t="str">
        <x:v>Slug contém R$ 1.490.000; página exibia R$ 1.390.000. Dois elevadores.</x:v>
      </x:c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</x:row>
    <x:row r="22">
      <x:c r="A22" s="1" t="str">
        <x:v>A01</x:v>
      </x:c>
      <x:c r="B22" s="83" t="n">
        <x:v>1</x:v>
      </x:c>
      <x:c r="C22" s="1"/>
      <x:c r="D22" s="7" t="n">
        <x:v>1649000</x:v>
      </x:c>
      <x:c r="E22" s="85" t="n">
        <x:f>IF(B22=1,D22,"")</x:f>
        <x:v>1649000</x:v>
      </x:c>
      <x:c r="F22" s="8" t="n">
        <x:v>113</x:v>
      </x:c>
      <x:c r="G22" s="8"/>
      <x:c r="H22" s="85" t="n">
        <x:f>IF(AND(ISNUMBER(E22),ISNUMBER(F22),F22&gt;0),E22/F22,"")</x:f>
        <x:v>14592.920353982301</x:v>
      </x:c>
      <x:c r="I22" s="1" t="n">
        <x:v>3</x:v>
      </x:c>
      <x:c r="J22" s="1" t="n">
        <x:v>1</x:v>
      </x:c>
      <x:c r="K22" s="1" t="n">
        <x:v>1</x:v>
      </x:c>
      <x:c r="L22" s="1" t="n">
        <x:v>2</x:v>
      </x:c>
      <x:c r="M22" s="1"/>
      <x:c r="N22" s="1"/>
      <x:c r="O22" s="1"/>
      <x:c r="P22" s="1" t="n">
        <x:v>0</x:v>
      </x:c>
      <x:c r="Q22" s="1" t="n">
        <x:v>0</x:v>
      </x:c>
      <x:c r="R22" s="1" t="n">
        <x:v>0</x:v>
      </x:c>
      <x:c r="S22" s="1" t="n">
        <x:v>0</x:v>
      </x:c>
      <x:c r="T22" s="1" t="n">
        <x:v>0</x:v>
      </x:c>
      <x:c r="U22" s="1" t="n">
        <x:v>0</x:v>
      </x:c>
      <x:c r="V22" s="7" t="n">
        <x:v>1911</x:v>
      </x:c>
      <x:c r="W22" s="7"/>
      <x:c r="X22" s="1" t="n">
        <x:v>1</x:v>
      </x:c>
      <x:c r="Y22" s="1" t="n">
        <x:v>0</x:v>
      </x:c>
      <x:c r="Z22" s="1" t="n">
        <x:v>0</x:v>
      </x:c>
      <x:c r="AA22" s="1" t="n">
        <x:v>0</x:v>
      </x:c>
      <x:c r="AB22" s="1" t="n">
        <x:v>0</x:v>
      </x:c>
      <x:c r="AC22" s="84"/>
      <x:c r="AD22" s="84"/>
      <x:c r="AE22" s="84"/>
      <x:c r="AF22" s="1" t="n">
        <x:v>1</x:v>
      </x:c>
      <x:c r="AG22" s="1" t="n">
        <x:v>5</x:v>
      </x:c>
      <x:c r="AH22" s="10" t="n">
        <x:v>46278.625</x:v>
      </x:c>
      <x:c r="AI22" s="1" t="str">
        <x:v>Imovelweb</x:v>
      </x:c>
      <x:c r="AJ22" s="1" t="str">
        <x:v>Rua Presidente Coutinho, Centro, Florianópolis</x:v>
      </x:c>
      <x:c r="AK22" s="86" t="str">
        <x:v>https://www.imovelweb.com.br/propriedades/apartamento-3-dormitorios-113.45-m-em-centro-3012983266.html</x:v>
      </x:c>
      <x:c r="AL22" s="1" t="str">
        <x:v>Somente anúncio; confirmar com fonte e vistoria</x:v>
      </x:c>
      <x:c r="AM22" s="1" t="str">
        <x:v>Área útil anunciada 113 m²; área total 170 m²; portaria 24h explicitada.</x:v>
      </x:c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</x:row>
    <x:row r="23">
      <x:c r="A23" s="1" t="str">
        <x:v>A02</x:v>
      </x:c>
      <x:c r="B23" s="83" t="n">
        <x:v>1</x:v>
      </x:c>
      <x:c r="C23" s="1"/>
      <x:c r="D23" s="7" t="n">
        <x:v>1600000</x:v>
      </x:c>
      <x:c r="E23" s="85" t="n">
        <x:f>IF(B23=1,D23,"")</x:f>
        <x:v>1600000</x:v>
      </x:c>
      <x:c r="F23" s="8" t="n">
        <x:v>69</x:v>
      </x:c>
      <x:c r="G23" s="8"/>
      <x:c r="H23" s="85" t="n">
        <x:f>IF(AND(ISNUMBER(E23),ISNUMBER(F23),F23&gt;0),E23/F23,"")</x:f>
        <x:v>23188.405797101448</x:v>
      </x:c>
      <x:c r="I23" s="1" t="n">
        <x:v>2</x:v>
      </x:c>
      <x:c r="J23" s="1" t="n">
        <x:v>2</x:v>
      </x:c>
      <x:c r="K23" s="1" t="n">
        <x:v>3</x:v>
      </x:c>
      <x:c r="L23" s="1" t="n">
        <x:v>2</x:v>
      </x:c>
      <x:c r="M23" s="1" t="n">
        <x:v>1</x:v>
      </x:c>
      <x:c r="N23" s="1"/>
      <x:c r="O23" s="1" t="n">
        <x:v>1</x:v>
      </x:c>
      <x:c r="P23" s="1" t="n">
        <x:v>1</x:v>
      </x:c>
      <x:c r="Q23" s="1" t="n">
        <x:v>0</x:v>
      </x:c>
      <x:c r="R23" s="1" t="n">
        <x:v>0</x:v>
      </x:c>
      <x:c r="S23" s="1" t="n">
        <x:v>0</x:v>
      </x:c>
      <x:c r="T23" s="1" t="n">
        <x:v>0</x:v>
      </x:c>
      <x:c r="U23" s="1" t="n">
        <x:v>0</x:v>
      </x:c>
      <x:c r="V23" s="7" t="n">
        <x:v>997</x:v>
      </x:c>
      <x:c r="W23" s="7"/>
      <x:c r="X23" s="1" t="n">
        <x:v>0</x:v>
      </x:c>
      <x:c r="Y23" s="1" t="n">
        <x:v>0</x:v>
      </x:c>
      <x:c r="Z23" s="1" t="n">
        <x:v>0</x:v>
      </x:c>
      <x:c r="AA23" s="1" t="n">
        <x:v>0</x:v>
      </x:c>
      <x:c r="AB23" s="1" t="n">
        <x:v>0</x:v>
      </x:c>
      <x:c r="AC23" s="84"/>
      <x:c r="AD23" s="84"/>
      <x:c r="AE23" s="84"/>
      <x:c r="AF23" s="1" t="n">
        <x:v>1</x:v>
      </x:c>
      <x:c r="AG23" s="1" t="n">
        <x:v>5</x:v>
      </x:c>
      <x:c r="AH23" s="10" t="n">
        <x:v>46278.625</x:v>
      </x:c>
      <x:c r="AI23" s="1" t="str">
        <x:v>Imovelweb</x:v>
      </x:c>
      <x:c r="AJ23" s="1" t="str">
        <x:v>Avenida Hercílio Luz 901, Centro, Florianópolis</x:v>
      </x:c>
      <x:c r="AK23" s="86" t="str">
        <x:v>https://www.imovelweb.com.br/propriedades/apartamento-em-centro-florianopolis-sc-de-69m-2-3044142600.html</x:v>
      </x:c>
      <x:c r="AL23" s="1" t="str">
        <x:v>Somente anúncio; confirmar com fonte e vistoria</x:v>
      </x:c>
      <x:c r="AM23" s="1" t="str">
        <x:v>Andar alto e elevador explicitados.</x:v>
      </x:c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</x:row>
    <x:row r="24">
      <x:c r="A24" s="1" t="str">
        <x:v>A03</x:v>
      </x:c>
      <x:c r="B24" s="83" t="n">
        <x:v>1</x:v>
      </x:c>
      <x:c r="C24" s="1"/>
      <x:c r="D24" s="7" t="n">
        <x:v>720000</x:v>
      </x:c>
      <x:c r="E24" s="85" t="n">
        <x:f>IF(B24=1,D24,"")</x:f>
        <x:v>720000</x:v>
      </x:c>
      <x:c r="F24" s="8" t="n">
        <x:v>77</x:v>
      </x:c>
      <x:c r="G24" s="8"/>
      <x:c r="H24" s="85" t="n">
        <x:f>IF(AND(ISNUMBER(E24),ISNUMBER(F24),F24&gt;0),E24/F24,"")</x:f>
        <x:v>9350.64935064935</x:v>
      </x:c>
      <x:c r="I24" s="1" t="n">
        <x:v>2</x:v>
      </x:c>
      <x:c r="J24" s="1" t="n">
        <x:v>1</x:v>
      </x:c>
      <x:c r="K24" s="1" t="n">
        <x:v>2</x:v>
      </x:c>
      <x:c r="L24" s="1"/>
      <x:c r="M24" s="1" t="n">
        <x:v>1</x:v>
      </x:c>
      <x:c r="N24" s="1" t="n">
        <x:v>3</x:v>
      </x:c>
      <x:c r="O24" s="1"/>
      <x:c r="P24" s="1" t="n">
        <x:v>0</x:v>
      </x:c>
      <x:c r="Q24" s="1" t="n">
        <x:v>1</x:v>
      </x:c>
      <x:c r="R24" s="1" t="n">
        <x:v>1</x:v>
      </x:c>
      <x:c r="S24" s="1" t="n">
        <x:v>0</x:v>
      </x:c>
      <x:c r="T24" s="1" t="n">
        <x:v>0</x:v>
      </x:c>
      <x:c r="U24" s="1" t="n">
        <x:v>0</x:v>
      </x:c>
      <x:c r="V24" s="7" t="n">
        <x:v>791</x:v>
      </x:c>
      <x:c r="W24" s="7"/>
      <x:c r="X24" s="1" t="n">
        <x:v>0</x:v>
      </x:c>
      <x:c r="Y24" s="1" t="n">
        <x:v>0</x:v>
      </x:c>
      <x:c r="Z24" s="1" t="n">
        <x:v>0</x:v>
      </x:c>
      <x:c r="AA24" s="1" t="n">
        <x:v>0</x:v>
      </x:c>
      <x:c r="AB24" s="1" t="n">
        <x:v>0</x:v>
      </x:c>
      <x:c r="AC24" s="84"/>
      <x:c r="AD24" s="84"/>
      <x:c r="AE24" s="84"/>
      <x:c r="AF24" s="1" t="n">
        <x:v>1</x:v>
      </x:c>
      <x:c r="AG24" s="1" t="n">
        <x:v>5</x:v>
      </x:c>
      <x:c r="AH24" s="10" t="n">
        <x:v>46278.625</x:v>
      </x:c>
      <x:c r="AI24" s="1" t="str">
        <x:v>Imovelweb</x:v>
      </x:c>
      <x:c r="AJ24" s="1" t="str">
        <x:v>Rua Santos Dumont 18, Centro, Florianópolis</x:v>
      </x:c>
      <x:c r="AK24" s="86" t="str">
        <x:v>https://www.imovelweb.com.br/propriedades/apartamento-em-centro-florianopolis-sc-de-77m-2-3018177678.html</x:v>
      </x:c>
      <x:c r="AL24" s="1" t="str">
        <x:v>Somente anúncio; confirmar com fonte e vistoria</x:v>
      </x:c>
      <x:c r="AM24" s="1" t="str">
        <x:v>Elevador e terceiro andar explicitados.</x:v>
      </x:c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</x:row>
    <x:row r="25">
      <x:c r="A25" s="1" t="str">
        <x:v>A04</x:v>
      </x:c>
      <x:c r="B25" s="83" t="n">
        <x:v>1</x:v>
      </x:c>
      <x:c r="C25" s="1"/>
      <x:c r="D25" s="7" t="n">
        <x:v>724000</x:v>
      </x:c>
      <x:c r="E25" s="85" t="n">
        <x:f>IF(B25=1,D25,"")</x:f>
        <x:v>724000</x:v>
      </x:c>
      <x:c r="F25" s="8" t="n">
        <x:v>89</x:v>
      </x:c>
      <x:c r="G25" s="8"/>
      <x:c r="H25" s="85" t="n">
        <x:f>IF(AND(ISNUMBER(E25),ISNUMBER(F25),F25&gt;0),E25/F25,"")</x:f>
        <x:v>8134.831460674157</x:v>
      </x:c>
      <x:c r="I25" s="1" t="n">
        <x:v>3</x:v>
      </x:c>
      <x:c r="J25" s="1"/>
      <x:c r="K25" s="1" t="n">
        <x:v>2</x:v>
      </x:c>
      <x:c r="L25" s="1" t="n">
        <x:v>1</x:v>
      </x:c>
      <x:c r="M25" s="1"/>
      <x:c r="N25" s="1"/>
      <x:c r="O25" s="1"/>
      <x:c r="P25" s="1" t="n">
        <x:v>0</x:v>
      </x:c>
      <x:c r="Q25" s="1" t="n">
        <x:v>0</x:v>
      </x:c>
      <x:c r="R25" s="1" t="n">
        <x:v>0</x:v>
      </x:c>
      <x:c r="S25" s="1" t="n">
        <x:v>0</x:v>
      </x:c>
      <x:c r="T25" s="1" t="n">
        <x:v>0</x:v>
      </x:c>
      <x:c r="U25" s="1" t="n">
        <x:v>0</x:v>
      </x:c>
      <x:c r="V25" s="7"/>
      <x:c r="W25" s="7"/>
      <x:c r="X25" s="1" t="n">
        <x:v>0</x:v>
      </x:c>
      <x:c r="Y25" s="1" t="n">
        <x:v>0</x:v>
      </x:c>
      <x:c r="Z25" s="1" t="n">
        <x:v>0</x:v>
      </x:c>
      <x:c r="AA25" s="1" t="n">
        <x:v>0</x:v>
      </x:c>
      <x:c r="AB25" s="1" t="n">
        <x:v>0</x:v>
      </x:c>
      <x:c r="AC25" s="84"/>
      <x:c r="AD25" s="84"/>
      <x:c r="AE25" s="84"/>
      <x:c r="AF25" s="1" t="n">
        <x:v>1</x:v>
      </x:c>
      <x:c r="AG25" s="1" t="n">
        <x:v>5</x:v>
      </x:c>
      <x:c r="AH25" s="10" t="n">
        <x:v>46278.625</x:v>
      </x:c>
      <x:c r="AI25" s="1" t="str">
        <x:v>Imovelweb</x:v>
      </x:c>
      <x:c r="AJ25" s="1" t="str">
        <x:v>Praça Olívio Amorim, 112, Centro, Florianópolis</x:v>
      </x:c>
      <x:c r="AK25" s="86" t="str">
        <x:v>https://www.imovelweb.com.br/propriedades/apartamento-3-dormitorios-89-m-em-centro-3021908925.html</x:v>
      </x:c>
      <x:c r="AL25" s="1" t="str">
        <x:v>Somente anúncio; confirmar com fonte e vistoria</x:v>
      </x:c>
      <x:c r="AM25" s="1" t="str">
        <x:v>Área total anunciada 112 m².</x:v>
      </x:c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</x:row>
    <x:row r="26">
      <x:c r="A26" s="1" t="str">
        <x:v>A05</x:v>
      </x:c>
      <x:c r="B26" s="83" t="n">
        <x:v>1</x:v>
      </x:c>
      <x:c r="C26" s="1"/>
      <x:c r="D26" s="7" t="n">
        <x:v>720000</x:v>
      </x:c>
      <x:c r="E26" s="85" t="n">
        <x:f>IF(B26=1,D26,"")</x:f>
        <x:v>720000</x:v>
      </x:c>
      <x:c r="F26" s="8" t="n">
        <x:v>76</x:v>
      </x:c>
      <x:c r="G26" s="8"/>
      <x:c r="H26" s="85" t="n">
        <x:f>IF(AND(ISNUMBER(E26),ISNUMBER(F26),F26&gt;0),E26/F26,"")</x:f>
        <x:v>9473.684210526315</x:v>
      </x:c>
      <x:c r="I26" s="1" t="n">
        <x:v>2</x:v>
      </x:c>
      <x:c r="J26" s="1" t="n">
        <x:v>1</x:v>
      </x:c>
      <x:c r="K26" s="1" t="n">
        <x:v>2</x:v>
      </x:c>
      <x:c r="L26" s="1"/>
      <x:c r="M26" s="1" t="n">
        <x:v>1</x:v>
      </x:c>
      <x:c r="N26" s="1" t="n">
        <x:v>3</x:v>
      </x:c>
      <x:c r="O26" s="1"/>
      <x:c r="P26" s="1" t="n">
        <x:v>0</x:v>
      </x:c>
      <x:c r="Q26" s="1" t="n">
        <x:v>1</x:v>
      </x:c>
      <x:c r="R26" s="1" t="n">
        <x:v>0</x:v>
      </x:c>
      <x:c r="S26" s="1" t="n">
        <x:v>0</x:v>
      </x:c>
      <x:c r="T26" s="1" t="n">
        <x:v>0</x:v>
      </x:c>
      <x:c r="U26" s="1" t="n">
        <x:v>0</x:v>
      </x:c>
      <x:c r="V26" s="7" t="n">
        <x:v>791</x:v>
      </x:c>
      <x:c r="W26" s="7"/>
      <x:c r="X26" s="1" t="n">
        <x:v>0</x:v>
      </x:c>
      <x:c r="Y26" s="1" t="n">
        <x:v>0</x:v>
      </x:c>
      <x:c r="Z26" s="1" t="n">
        <x:v>0</x:v>
      </x:c>
      <x:c r="AA26" s="1" t="n">
        <x:v>0</x:v>
      </x:c>
      <x:c r="AB26" s="1" t="n">
        <x:v>0</x:v>
      </x:c>
      <x:c r="AC26" s="84"/>
      <x:c r="AD26" s="84"/>
      <x:c r="AE26" s="84"/>
      <x:c r="AF26" s="1" t="n">
        <x:v>1</x:v>
      </x:c>
      <x:c r="AG26" s="1" t="n">
        <x:v>5</x:v>
      </x:c>
      <x:c r="AH26" s="10" t="n">
        <x:v>46278.625</x:v>
      </x:c>
      <x:c r="AI26" s="1" t="str">
        <x:v>Imovelweb</x:v>
      </x:c>
      <x:c r="AJ26" s="1" t="str">
        <x:v>Praça Pereira Oliveira, 19, Centro, Florianópolis</x:v>
      </x:c>
      <x:c r="AK26" s="86" t="str">
        <x:v>https://www.imovelweb.com.br/propriedades/2-dormitorios-sendo-suite-no-centro-com-otima-posicao-3017874554.html</x:v>
      </x:c>
      <x:c r="AL26" s="1" t="str">
        <x:v>Somente anúncio; confirmar com fonte e vistoria</x:v>
      </x:c>
      <x:c r="AM26" s="1" t="str">
        <x:v>Descrição também cita Rua Visconde de Ouro Preto; página aponta Praça Pereira Oliveira. Usar URL para conferência.</x:v>
      </x:c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</x:row>
    <x:row r="27">
      <x:c r="A27" s="1" t="str">
        <x:v>A06</x:v>
      </x:c>
      <x:c r="B27" s="83" t="n">
        <x:v>0</x:v>
      </x:c>
      <x:c r="C27" s="1" t="str">
        <x:v>conflito relevante no anúncio</x:v>
      </x:c>
      <x:c r="D27" s="7" t="n">
        <x:v>2450000</x:v>
      </x:c>
      <x:c r="E27" s="85" t="str">
        <x:f>IF(B27=1,D27,"")</x:f>
      </x:c>
      <x:c r="F27" s="8" t="n">
        <x:v>134</x:v>
      </x:c>
      <x:c r="G27" s="8"/>
      <x:c r="H27" s="85" t="str">
        <x:f>IF(AND(ISNUMBER(E27),ISNUMBER(F27),F27&gt;0),E27/F27,"")</x:f>
      </x:c>
      <x:c r="I27" s="1" t="n">
        <x:v>4</x:v>
      </x:c>
      <x:c r="J27" s="1" t="n">
        <x:v>2</x:v>
      </x:c>
      <x:c r="K27" s="1" t="n">
        <x:v>1</x:v>
      </x:c>
      <x:c r="L27" s="1" t="n">
        <x:v>2</x:v>
      </x:c>
      <x:c r="M27" s="1" t="n">
        <x:v>1</x:v>
      </x:c>
      <x:c r="N27" s="1"/>
      <x:c r="O27" s="1"/>
      <x:c r="P27" s="1" t="n">
        <x:v>1</x:v>
      </x:c>
      <x:c r="Q27" s="1" t="n">
        <x:v>0</x:v>
      </x:c>
      <x:c r="R27" s="1" t="n">
        <x:v>0</x:v>
      </x:c>
      <x:c r="S27" s="1" t="n">
        <x:v>0</x:v>
      </x:c>
      <x:c r="T27" s="1" t="n">
        <x:v>0</x:v>
      </x:c>
      <x:c r="U27" s="1" t="n">
        <x:v>0</x:v>
      </x:c>
      <x:c r="V27" s="7" t="n">
        <x:v>1489</x:v>
      </x:c>
      <x:c r="W27" s="7"/>
      <x:c r="X27" s="1" t="n">
        <x:v>0</x:v>
      </x:c>
      <x:c r="Y27" s="1" t="n">
        <x:v>0</x:v>
      </x:c>
      <x:c r="Z27" s="1" t="n">
        <x:v>0</x:v>
      </x:c>
      <x:c r="AA27" s="1" t="n">
        <x:v>0</x:v>
      </x:c>
      <x:c r="AB27" s="1" t="n">
        <x:v>0</x:v>
      </x:c>
      <x:c r="AC27" s="84"/>
      <x:c r="AD27" s="84"/>
      <x:c r="AE27" s="84"/>
      <x:c r="AF27" s="1" t="n">
        <x:v>1</x:v>
      </x:c>
      <x:c r="AG27" s="1" t="n">
        <x:v>5</x:v>
      </x:c>
      <x:c r="AH27" s="10" t="n">
        <x:v>46278.625</x:v>
      </x:c>
      <x:c r="AI27" s="1" t="str">
        <x:v>Imovelweb</x:v>
      </x:c>
      <x:c r="AJ27" s="1" t="str">
        <x:v>Rua Newton Ramos, Centro, Florianópolis</x:v>
      </x:c>
      <x:c r="AK27" s="86" t="str">
        <x:v>https://www.imovelweb.com.br/propriedades/apartamento-4-dormitorios-134-m-em-centro-3044046682.html</x:v>
      </x:c>
      <x:c r="AL27" s="1" t="str">
        <x:v>Somente anúncio; confirmar com fonte e vistoria</x:v>
      </x:c>
      <x:c r="AM27" s="1" t="str">
        <x:v>Descrição informa elevadores social e de serviço; contagem de banheiros exibida no card pode divergir da descrição (lavabo e banheiro de serviço).</x:v>
      </x:c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</x:row>
    <x:row r="28">
      <x:c r="A28" s="1" t="str">
        <x:v>A07</x:v>
      </x:c>
      <x:c r="B28" s="83" t="n">
        <x:v>0</x:v>
      </x:c>
      <x:c r="C28" s="1" t="str">
        <x:v>área fora de 60 a 150 m²</x:v>
      </x:c>
      <x:c r="D28" s="7" t="n">
        <x:v>680000</x:v>
      </x:c>
      <x:c r="E28" s="85" t="str">
        <x:f>IF(B28=1,D28,"")</x:f>
      </x:c>
      <x:c r="F28" s="8" t="n">
        <x:v>48.41</x:v>
      </x:c>
      <x:c r="G28" s="8"/>
      <x:c r="H28" s="85" t="str">
        <x:f>IF(AND(ISNUMBER(E28),ISNUMBER(F28),F28&gt;0),E28/F28,"")</x:f>
      </x:c>
      <x:c r="I28" s="1" t="n">
        <x:v>2</x:v>
      </x:c>
      <x:c r="J28" s="1"/>
      <x:c r="K28" s="1" t="n">
        <x:v>1</x:v>
      </x:c>
      <x:c r="L28" s="1" t="n">
        <x:v>1</x:v>
      </x:c>
      <x:c r="M28" s="1"/>
      <x:c r="N28" s="1"/>
      <x:c r="O28" s="1"/>
      <x:c r="P28" s="1" t="n">
        <x:v>0</x:v>
      </x:c>
      <x:c r="Q28" s="1" t="n">
        <x:v>0</x:v>
      </x:c>
      <x:c r="R28" s="1" t="n">
        <x:v>0</x:v>
      </x:c>
      <x:c r="S28" s="1" t="n">
        <x:v>0</x:v>
      </x:c>
      <x:c r="T28" s="1" t="n">
        <x:v>0</x:v>
      </x:c>
      <x:c r="U28" s="1" t="n">
        <x:v>0</x:v>
      </x:c>
      <x:c r="V28" s="7" t="n">
        <x:v>650</x:v>
      </x:c>
      <x:c r="W28" s="7"/>
      <x:c r="X28" s="1" t="n">
        <x:v>0</x:v>
      </x:c>
      <x:c r="Y28" s="1" t="n">
        <x:v>0</x:v>
      </x:c>
      <x:c r="Z28" s="1" t="n">
        <x:v>0</x:v>
      </x:c>
      <x:c r="AA28" s="1" t="n">
        <x:v>0</x:v>
      </x:c>
      <x:c r="AB28" s="1" t="n">
        <x:v>0</x:v>
      </x:c>
      <x:c r="AC28" s="84"/>
      <x:c r="AD28" s="84"/>
      <x:c r="AE28" s="84"/>
      <x:c r="AF28" s="1" t="n">
        <x:v>1</x:v>
      </x:c>
      <x:c r="AG28" s="1" t="n">
        <x:v>5</x:v>
      </x:c>
      <x:c r="AH28" s="10" t="n">
        <x:v>46278.625</x:v>
      </x:c>
      <x:c r="AI28" s="1" t="str">
        <x:v>Imovelweb</x:v>
      </x:c>
      <x:c r="AJ28" s="1" t="str">
        <x:v>Rua Almirante Alvim, 452, Centro, Florianópolis</x:v>
      </x:c>
      <x:c r="AK28" s="86" t="str">
        <x:v>https://www.imovelweb.com.br/propriedades/apartamento-2-dormitorios-48.41-m-em-centro-3024280955.html</x:v>
      </x:c>
      <x:c r="AL28" s="1" t="str">
        <x:v>Somente anúncio; confirmar com fonte e vistoria</x:v>
      </x:c>
      <x:c r="AM28" s="1" t="str">
        <x:v>Área total anunciada 63 m²; abaixo do perfil preferencial de 60 m², manter somente como amostra auxiliar.</x:v>
      </x:c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</x:row>
    <x:row r="29">
      <x:c r="A29" s="1" t="str">
        <x:v>A08</x:v>
      </x:c>
      <x:c r="B29" s="83" t="n">
        <x:v>1</x:v>
      </x:c>
      <x:c r="C29" s="1"/>
      <x:c r="D29" s="7" t="n">
        <x:v>750000</x:v>
      </x:c>
      <x:c r="E29" s="85" t="n">
        <x:f>IF(B29=1,D29,"")</x:f>
        <x:v>750000</x:v>
      </x:c>
      <x:c r="F29" s="8" t="n">
        <x:v>78.79</x:v>
      </x:c>
      <x:c r="G29" s="8"/>
      <x:c r="H29" s="85" t="n">
        <x:f>IF(AND(ISNUMBER(E29),ISNUMBER(F29),F29&gt;0),E29/F29,"")</x:f>
        <x:v>9518.974489148368</x:v>
      </x:c>
      <x:c r="I29" s="1" t="n">
        <x:v>2</x:v>
      </x:c>
      <x:c r="J29" s="1"/>
      <x:c r="K29" s="1" t="n">
        <x:v>2</x:v>
      </x:c>
      <x:c r="L29" s="1" t="n">
        <x:v>1</x:v>
      </x:c>
      <x:c r="M29" s="1" t="n">
        <x:v>1</x:v>
      </x:c>
      <x:c r="N29" s="1"/>
      <x:c r="O29" s="1"/>
      <x:c r="P29" s="1" t="n">
        <x:v>0</x:v>
      </x:c>
      <x:c r="Q29" s="1" t="n">
        <x:v>0</x:v>
      </x:c>
      <x:c r="R29" s="1" t="n">
        <x:v>1</x:v>
      </x:c>
      <x:c r="S29" s="1" t="n">
        <x:v>0</x:v>
      </x:c>
      <x:c r="T29" s="1" t="n">
        <x:v>0</x:v>
      </x:c>
      <x:c r="U29" s="1" t="n">
        <x:v>0</x:v>
      </x:c>
      <x:c r="V29" s="7" t="n">
        <x:v>695</x:v>
      </x:c>
      <x:c r="W29" s="7"/>
      <x:c r="X29" s="1" t="n">
        <x:v>0</x:v>
      </x:c>
      <x:c r="Y29" s="1" t="n">
        <x:v>0</x:v>
      </x:c>
      <x:c r="Z29" s="1" t="n">
        <x:v>0</x:v>
      </x:c>
      <x:c r="AA29" s="1" t="n">
        <x:v>0</x:v>
      </x:c>
      <x:c r="AB29" s="1" t="n">
        <x:v>0</x:v>
      </x:c>
      <x:c r="AC29" s="84"/>
      <x:c r="AD29" s="84"/>
      <x:c r="AE29" s="84"/>
      <x:c r="AF29" s="1" t="n">
        <x:v>1</x:v>
      </x:c>
      <x:c r="AG29" s="1" t="n">
        <x:v>5</x:v>
      </x:c>
      <x:c r="AH29" s="10" t="n">
        <x:v>46278.625</x:v>
      </x:c>
      <x:c r="AI29" s="1" t="str">
        <x:v>Imovelweb</x:v>
      </x:c>
      <x:c r="AJ29" s="1" t="str">
        <x:v>Padre Roma, 304, Centro, Florianópolis</x:v>
      </x:c>
      <x:c r="AK29" s="86" t="str">
        <x:v>https://www.imovelweb.com.br/propriedades/apartamento-2-quartos-a-venda-no-centro-em-3033346056.html</x:v>
      </x:c>
      <x:c r="AL29" s="1" t="str">
        <x:v>Somente anúncio; confirmar com fonte e vistoria</x:v>
      </x:c>
      <x:c r="AM29" s="1" t="str">
        <x:v>Área total 89 m²; portaria remota e elevador explicitados.</x:v>
      </x:c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</x:row>
    <x:row r="30">
      <x:c r="A30" s="1" t="str">
        <x:v>A09</x:v>
      </x:c>
      <x:c r="B30" s="83" t="n">
        <x:v>0</x:v>
      </x:c>
      <x:c r="C30" s="1" t="str">
        <x:v>área fora de 60 a 150 m²</x:v>
      </x:c>
      <x:c r="D30" s="7" t="n">
        <x:v>3899999</x:v>
      </x:c>
      <x:c r="E30" s="85" t="str">
        <x:f>IF(B30=1,D30,"")</x:f>
      </x:c>
      <x:c r="F30" s="8" t="n">
        <x:v>165</x:v>
      </x:c>
      <x:c r="G30" s="8"/>
      <x:c r="H30" s="85" t="str">
        <x:f>IF(AND(ISNUMBER(E30),ISNUMBER(F30),F30&gt;0),E30/F30,"")</x:f>
      </x:c>
      <x:c r="I30" s="1" t="n">
        <x:v>3</x:v>
      </x:c>
      <x:c r="J30" s="1" t="n">
        <x:v>3</x:v>
      </x:c>
      <x:c r="K30" s="1" t="n">
        <x:v>5</x:v>
      </x:c>
      <x:c r="L30" s="1" t="n">
        <x:v>3</x:v>
      </x:c>
      <x:c r="M30" s="1"/>
      <x:c r="N30" s="1"/>
      <x:c r="O30" s="1"/>
      <x:c r="P30" s="1" t="n">
        <x:v>1</x:v>
      </x:c>
      <x:c r="Q30" s="1" t="n">
        <x:v>0</x:v>
      </x:c>
      <x:c r="R30" s="1" t="n">
        <x:v>0</x:v>
      </x:c>
      <x:c r="S30" s="1" t="n">
        <x:v>1</x:v>
      </x:c>
      <x:c r="T30" s="1" t="n">
        <x:v>0</x:v>
      </x:c>
      <x:c r="U30" s="1" t="n">
        <x:v>0</x:v>
      </x:c>
      <x:c r="V30" s="7" t="n">
        <x:v>1640</x:v>
      </x:c>
      <x:c r="W30" s="7"/>
      <x:c r="X30" s="1" t="n">
        <x:v>0</x:v>
      </x:c>
      <x:c r="Y30" s="1" t="n">
        <x:v>0</x:v>
      </x:c>
      <x:c r="Z30" s="1" t="n">
        <x:v>0</x:v>
      </x:c>
      <x:c r="AA30" s="1" t="n">
        <x:v>0</x:v>
      </x:c>
      <x:c r="AB30" s="1" t="n">
        <x:v>0</x:v>
      </x:c>
      <x:c r="AC30" s="84"/>
      <x:c r="AD30" s="84"/>
      <x:c r="AE30" s="84"/>
      <x:c r="AF30" s="1" t="n">
        <x:v>1</x:v>
      </x:c>
      <x:c r="AG30" s="1" t="n">
        <x:v>5</x:v>
      </x:c>
      <x:c r="AH30" s="10" t="n">
        <x:v>46278.625</x:v>
      </x:c>
      <x:c r="AI30" s="1" t="str">
        <x:v>Imovelweb</x:v>
      </x:c>
      <x:c r="AJ30" s="1" t="str">
        <x:v>Rua Vítor Konder 302, Centro, Florianópolis</x:v>
      </x:c>
      <x:c r="AK30" s="86" t="str">
        <x:v>https://www.imovelweb.com.br/propriedades/apartamento-com-3-dormitorios-a-venda-165-m-por-r%24-3033511811.html</x:v>
      </x:c>
      <x:c r="AL30" s="1" t="str">
        <x:v>Somente anúncio; confirmar com fonte e vistoria</x:v>
      </x:c>
      <x:c r="AM30" s="1" t="str">
        <x:v>Fora do teto preferencial de 150 m²; manter como amostra auxiliar. Anúncio menciona data interna 23/04/2026.</x:v>
      </x:c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</x:row>
    <x:row r="31">
      <x:c r="A31" s="1" t="str">
        <x:v>A10</x:v>
      </x:c>
      <x:c r="B31" s="83" t="n">
        <x:v>0</x:v>
      </x:c>
      <x:c r="C31" s="1" t="str">
        <x:v>área fora de 60 a 150 m²; duplicidade provável de A09</x:v>
      </x:c>
      <x:c r="D31" s="7" t="n">
        <x:v>3800000</x:v>
      </x:c>
      <x:c r="E31" s="85" t="str">
        <x:f>IF(B31=1,D31,"")</x:f>
      </x:c>
      <x:c r="F31" s="8" t="n">
        <x:v>165</x:v>
      </x:c>
      <x:c r="G31" s="8"/>
      <x:c r="H31" s="85" t="str">
        <x:f>IF(AND(ISNUMBER(E31),ISNUMBER(F31),F31&gt;0),E31/F31,"")</x:f>
      </x:c>
      <x:c r="I31" s="1" t="n">
        <x:v>3</x:v>
      </x:c>
      <x:c r="J31" s="1" t="n">
        <x:v>3</x:v>
      </x:c>
      <x:c r="K31" s="1" t="n">
        <x:v>4</x:v>
      </x:c>
      <x:c r="L31" s="1" t="n">
        <x:v>2</x:v>
      </x:c>
      <x:c r="M31" s="1" t="n">
        <x:v>1</x:v>
      </x:c>
      <x:c r="N31" s="1"/>
      <x:c r="O31" s="1" t="n">
        <x:v>1</x:v>
      </x:c>
      <x:c r="P31" s="1" t="n">
        <x:v>0</x:v>
      </x:c>
      <x:c r="Q31" s="1" t="n">
        <x:v>1</x:v>
      </x:c>
      <x:c r="R31" s="1" t="n">
        <x:v>0</x:v>
      </x:c>
      <x:c r="S31" s="1" t="n">
        <x:v>1</x:v>
      </x:c>
      <x:c r="T31" s="1" t="n">
        <x:v>0</x:v>
      </x:c>
      <x:c r="U31" s="1" t="n">
        <x:v>0</x:v>
      </x:c>
      <x:c r="V31" s="7"/>
      <x:c r="W31" s="7"/>
      <x:c r="X31" s="1" t="n">
        <x:v>0</x:v>
      </x:c>
      <x:c r="Y31" s="1" t="n">
        <x:v>0</x:v>
      </x:c>
      <x:c r="Z31" s="1" t="n">
        <x:v>0</x:v>
      </x:c>
      <x:c r="AA31" s="1" t="n">
        <x:v>0</x:v>
      </x:c>
      <x:c r="AB31" s="1" t="n">
        <x:v>0</x:v>
      </x:c>
      <x:c r="AC31" s="84"/>
      <x:c r="AD31" s="84"/>
      <x:c r="AE31" s="84"/>
      <x:c r="AF31" s="1" t="n">
        <x:v>1</x:v>
      </x:c>
      <x:c r="AG31" s="1" t="n">
        <x:v>5</x:v>
      </x:c>
      <x:c r="AH31" s="10" t="n">
        <x:v>46278.625</x:v>
      </x:c>
      <x:c r="AI31" s="1" t="str">
        <x:v>Imovelweb</x:v>
      </x:c>
      <x:c r="AJ31" s="1" t="str">
        <x:v>Rua Vítor Konder, 302, Centro, Florianópolis</x:v>
      </x:c>
      <x:c r="AK31" s="86" t="str">
        <x:v>https://www.imovelweb.com.br/propriedades/apartamento-3-suites-mobiliado-em-andar-alto-no-centro-3030812829.html</x:v>
      </x:c>
      <x:c r="AL31" s="1" t="str">
        <x:v>Somente anúncio; confirmar com fonte e vistoria</x:v>
      </x:c>
      <x:c r="AM31" s="1" t="str">
        <x:v>Fora do teto preferencial de 150 m²; elevadores explicitados.</x:v>
      </x:c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</x:row>
    <x:row r="32">
      <x:c r="A32" s="1" t="str">
        <x:v>A11</x:v>
      </x:c>
      <x:c r="B32" s="83" t="n">
        <x:v>0</x:v>
      </x:c>
      <x:c r="C32" s="1" t="str">
        <x:v>lançamento/construção ou preço de custo</x:v>
      </x:c>
      <x:c r="D32" s="7" t="n">
        <x:v>3017537</x:v>
      </x:c>
      <x:c r="E32" s="85" t="str">
        <x:f>IF(B32=1,D32,"")</x:f>
      </x:c>
      <x:c r="F32" s="8" t="n">
        <x:v>146</x:v>
      </x:c>
      <x:c r="G32" s="8"/>
      <x:c r="H32" s="85" t="str">
        <x:f>IF(AND(ISNUMBER(E32),ISNUMBER(F32),F32&gt;0),E32/F32,"")</x:f>
      </x:c>
      <x:c r="I32" s="1" t="n">
        <x:v>3</x:v>
      </x:c>
      <x:c r="J32" s="1" t="n">
        <x:v>3</x:v>
      </x:c>
      <x:c r="K32" s="1" t="n">
        <x:v>4</x:v>
      </x:c>
      <x:c r="L32" s="1" t="n">
        <x:v>2</x:v>
      </x:c>
      <x:c r="M32" s="1"/>
      <x:c r="N32" s="1"/>
      <x:c r="O32" s="1"/>
      <x:c r="P32" s="1" t="n">
        <x:v>0</x:v>
      </x:c>
      <x:c r="Q32" s="1" t="n">
        <x:v>0</x:v>
      </x:c>
      <x:c r="R32" s="1" t="n">
        <x:v>0</x:v>
      </x:c>
      <x:c r="S32" s="1" t="n">
        <x:v>0</x:v>
      </x:c>
      <x:c r="T32" s="1" t="n">
        <x:v>1</x:v>
      </x:c>
      <x:c r="U32" s="1" t="n">
        <x:v>0</x:v>
      </x:c>
      <x:c r="V32" s="7"/>
      <x:c r="W32" s="7"/>
      <x:c r="X32" s="1" t="n">
        <x:v>0</x:v>
      </x:c>
      <x:c r="Y32" s="1" t="n">
        <x:v>0</x:v>
      </x:c>
      <x:c r="Z32" s="1" t="n">
        <x:v>0</x:v>
      </x:c>
      <x:c r="AA32" s="1" t="n">
        <x:v>0</x:v>
      </x:c>
      <x:c r="AB32" s="1" t="n">
        <x:v>0</x:v>
      </x:c>
      <x:c r="AC32" s="84"/>
      <x:c r="AD32" s="84"/>
      <x:c r="AE32" s="84"/>
      <x:c r="AF32" s="1" t="n">
        <x:v>1</x:v>
      </x:c>
      <x:c r="AG32" s="1" t="n">
        <x:v>5</x:v>
      </x:c>
      <x:c r="AH32" s="10" t="n">
        <x:v>46278.625</x:v>
      </x:c>
      <x:c r="AI32" s="1" t="str">
        <x:v>Imovelweb</x:v>
      </x:c>
      <x:c r="AJ32" s="1" t="str">
        <x:v>Rua Crispim Mira 70, Centro, Florianópolis</x:v>
      </x:c>
      <x:c r="AK32" s="86" t="str">
        <x:v>https://www.imovelweb.com.br/propriedades/centro-apartamento-3-suites-com-lavabo-3031021592.html</x:v>
      </x:c>
      <x:c r="AL32" s="1" t="str">
        <x:v>Somente anúncio; confirmar com fonte e vistoria</x:v>
      </x:c>
      <x:c r="AM32" s="1" t="str">
        <x:v>Amostra de lançamento, deve ser tratada separadamente da base de usados.</x:v>
      </x:c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</x:row>
    <x:row r="33">
      <x:c r="A33" s="1" t="str">
        <x:v>A12</x:v>
      </x:c>
      <x:c r="B33" s="83" t="n">
        <x:v>0</x:v>
      </x:c>
      <x:c r="C33" s="1" t="str">
        <x:v>lançamento/construção ou preço de custo</x:v>
      </x:c>
      <x:c r="D33" s="7" t="n">
        <x:v>3100000</x:v>
      </x:c>
      <x:c r="E33" s="85" t="str">
        <x:f>IF(B33=1,D33,"")</x:f>
      </x:c>
      <x:c r="F33" s="8" t="n">
        <x:v>125.3</x:v>
      </x:c>
      <x:c r="G33" s="8"/>
      <x:c r="H33" s="85" t="str">
        <x:f>IF(AND(ISNUMBER(E33),ISNUMBER(F33),F33&gt;0),E33/F33,"")</x:f>
      </x:c>
      <x:c r="I33" s="1" t="n">
        <x:v>3</x:v>
      </x:c>
      <x:c r="J33" s="1" t="n">
        <x:v>3</x:v>
      </x:c>
      <x:c r="K33" s="1" t="n">
        <x:v>1</x:v>
      </x:c>
      <x:c r="L33" s="1" t="n">
        <x:v>2</x:v>
      </x:c>
      <x:c r="M33" s="1" t="n">
        <x:v>1</x:v>
      </x:c>
      <x:c r="N33" s="1"/>
      <x:c r="O33" s="1"/>
      <x:c r="P33" s="1" t="n">
        <x:v>0</x:v>
      </x:c>
      <x:c r="Q33" s="1" t="n">
        <x:v>0</x:v>
      </x:c>
      <x:c r="R33" s="1" t="n">
        <x:v>0</x:v>
      </x:c>
      <x:c r="S33" s="1" t="n">
        <x:v>0</x:v>
      </x:c>
      <x:c r="T33" s="1" t="n">
        <x:v>1</x:v>
      </x:c>
      <x:c r="U33" s="1" t="n">
        <x:v>0</x:v>
      </x:c>
      <x:c r="V33" s="7"/>
      <x:c r="W33" s="7"/>
      <x:c r="X33" s="1" t="n">
        <x:v>0</x:v>
      </x:c>
      <x:c r="Y33" s="1" t="n">
        <x:v>0</x:v>
      </x:c>
      <x:c r="Z33" s="1" t="n">
        <x:v>0</x:v>
      </x:c>
      <x:c r="AA33" s="1" t="n">
        <x:v>0</x:v>
      </x:c>
      <x:c r="AB33" s="1" t="n">
        <x:v>0</x:v>
      </x:c>
      <x:c r="AC33" s="84"/>
      <x:c r="AD33" s="84"/>
      <x:c r="AE33" s="84"/>
      <x:c r="AF33" s="1" t="n">
        <x:v>1</x:v>
      </x:c>
      <x:c r="AG33" s="1" t="n">
        <x:v>5</x:v>
      </x:c>
      <x:c r="AH33" s="10" t="n">
        <x:v>46278.625</x:v>
      </x:c>
      <x:c r="AI33" s="1" t="str">
        <x:v>Imovelweb</x:v>
      </x:c>
      <x:c r="AJ33" s="1" t="str">
        <x:v>Avenida Trompowsky, Centro, Florianópolis</x:v>
      </x:c>
      <x:c r="AK33" s="86" t="str">
        <x:v>https://www.imovelweb.com.br/propriedades/apartamento-3-dormitorios-125.3-m-em-centro-3043545460.html</x:v>
      </x:c>
      <x:c r="AL33" s="1" t="str">
        <x:v>Somente anúncio; confirmar com fonte e vistoria</x:v>
      </x:c>
      <x:c r="AM33" s="1" t="str">
        <x:v>Card indica IPTU R$ 9; preservado como publicado. Elevadores explicitados.</x:v>
      </x:c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</x:row>
    <x:row r="34">
      <x:c r="A34" s="1" t="str">
        <x:v>A13</x:v>
      </x:c>
      <x:c r="B34" s="83" t="n">
        <x:v>1</x:v>
      </x:c>
      <x:c r="C34" s="1"/>
      <x:c r="D34" s="7" t="n">
        <x:v>1870000</x:v>
      </x:c>
      <x:c r="E34" s="85" t="n">
        <x:f>IF(B34=1,D34,"")</x:f>
        <x:v>1870000</x:v>
      </x:c>
      <x:c r="F34" s="8" t="n">
        <x:v>94</x:v>
      </x:c>
      <x:c r="G34" s="8"/>
      <x:c r="H34" s="85" t="n">
        <x:f>IF(AND(ISNUMBER(E34),ISNUMBER(F34),F34&gt;0),E34/F34,"")</x:f>
        <x:v>19893.617021276597</x:v>
      </x:c>
      <x:c r="I34" s="1" t="n">
        <x:v>3</x:v>
      </x:c>
      <x:c r="J34" s="1" t="n">
        <x:v>1</x:v>
      </x:c>
      <x:c r="K34" s="1" t="n">
        <x:v>3</x:v>
      </x:c>
      <x:c r="L34" s="1" t="n">
        <x:v>2</x:v>
      </x:c>
      <x:c r="M34" s="1"/>
      <x:c r="N34" s="1"/>
      <x:c r="O34" s="1"/>
      <x:c r="P34" s="1" t="n">
        <x:v>1</x:v>
      </x:c>
      <x:c r="Q34" s="1" t="n">
        <x:v>0</x:v>
      </x:c>
      <x:c r="R34" s="1" t="n">
        <x:v>0</x:v>
      </x:c>
      <x:c r="S34" s="1" t="n">
        <x:v>0</x:v>
      </x:c>
      <x:c r="T34" s="1" t="n">
        <x:v>0</x:v>
      </x:c>
      <x:c r="U34" s="1" t="n">
        <x:v>0</x:v>
      </x:c>
      <x:c r="V34" s="7" t="n">
        <x:v>1528</x:v>
      </x:c>
      <x:c r="W34" s="7"/>
      <x:c r="X34" s="1" t="n">
        <x:v>0</x:v>
      </x:c>
      <x:c r="Y34" s="1" t="n">
        <x:v>0</x:v>
      </x:c>
      <x:c r="Z34" s="1" t="n">
        <x:v>0</x:v>
      </x:c>
      <x:c r="AA34" s="1" t="n">
        <x:v>0</x:v>
      </x:c>
      <x:c r="AB34" s="1" t="n">
        <x:v>0</x:v>
      </x:c>
      <x:c r="AC34" s="84"/>
      <x:c r="AD34" s="84"/>
      <x:c r="AE34" s="84"/>
      <x:c r="AF34" s="1" t="n">
        <x:v>1</x:v>
      </x:c>
      <x:c r="AG34" s="1" t="n">
        <x:v>5</x:v>
      </x:c>
      <x:c r="AH34" s="10" t="n">
        <x:v>46278.625</x:v>
      </x:c>
      <x:c r="AI34" s="1" t="str">
        <x:v>Imovelweb</x:v>
      </x:c>
      <x:c r="AJ34" s="1" t="str">
        <x:v>Rua Felipe Schmidt 1012, Centro, Florianópolis</x:v>
      </x:c>
      <x:c r="AK34" s="86" t="str">
        <x:v>https://www.imovelweb.com.br/propriedades/centro-apartamento-3-quartos-1-suite-3010175667.html</x:v>
      </x:c>
      <x:c r="AL34" s="1" t="str">
        <x:v>Somente anúncio; confirmar com fonte e vistoria</x:v>
      </x:c>
      <x:c r="AM34" s="1" t="str">
        <x:v>Área total anunciada 133 m².</x:v>
      </x:c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</x:row>
    <x:row r="35">
      <x:c r="A35" s="1" t="str">
        <x:v>A14</x:v>
      </x:c>
      <x:c r="B35" s="83" t="n">
        <x:v>0</x:v>
      </x:c>
      <x:c r="C35" s="1" t="str">
        <x:v>área fora de 60 a 150 m²</x:v>
      </x:c>
      <x:c r="D35" s="7" t="n">
        <x:v>550000</x:v>
      </x:c>
      <x:c r="E35" s="85" t="str">
        <x:f>IF(B35=1,D35,"")</x:f>
      </x:c>
      <x:c r="F35" s="8" t="n">
        <x:v>47.62</x:v>
      </x:c>
      <x:c r="G35" s="8"/>
      <x:c r="H35" s="85" t="str">
        <x:f>IF(AND(ISNUMBER(E35),ISNUMBER(F35),F35&gt;0),E35/F35,"")</x:f>
      </x:c>
      <x:c r="I35" s="1" t="n">
        <x:v>2</x:v>
      </x:c>
      <x:c r="J35" s="1"/>
      <x:c r="K35" s="1" t="n">
        <x:v>1</x:v>
      </x:c>
      <x:c r="L35" s="1"/>
      <x:c r="M35" s="1" t="n">
        <x:v>1</x:v>
      </x:c>
      <x:c r="N35" s="1"/>
      <x:c r="O35" s="1"/>
      <x:c r="P35" s="1" t="n">
        <x:v>0</x:v>
      </x:c>
      <x:c r="Q35" s="1" t="n">
        <x:v>0</x:v>
      </x:c>
      <x:c r="R35" s="1" t="n">
        <x:v>1</x:v>
      </x:c>
      <x:c r="S35" s="1" t="n">
        <x:v>0</x:v>
      </x:c>
      <x:c r="T35" s="1" t="n">
        <x:v>0</x:v>
      </x:c>
      <x:c r="U35" s="1" t="n">
        <x:v>0</x:v>
      </x:c>
      <x:c r="V35" s="7" t="n">
        <x:v>760</x:v>
      </x:c>
      <x:c r="W35" s="7"/>
      <x:c r="X35" s="1" t="n">
        <x:v>0</x:v>
      </x:c>
      <x:c r="Y35" s="1" t="n">
        <x:v>0</x:v>
      </x:c>
      <x:c r="Z35" s="1" t="n">
        <x:v>0</x:v>
      </x:c>
      <x:c r="AA35" s="1" t="n">
        <x:v>0</x:v>
      </x:c>
      <x:c r="AB35" s="1" t="n">
        <x:v>0</x:v>
      </x:c>
      <x:c r="AC35" s="84"/>
      <x:c r="AD35" s="84"/>
      <x:c r="AE35" s="84"/>
      <x:c r="AF35" s="1" t="n">
        <x:v>1</x:v>
      </x:c>
      <x:c r="AG35" s="1" t="n">
        <x:v>5</x:v>
      </x:c>
      <x:c r="AH35" s="10" t="n">
        <x:v>46278.625</x:v>
      </x:c>
      <x:c r="AI35" s="1" t="str">
        <x:v>Imovelweb</x:v>
      </x:c>
      <x:c r="AJ35" s="1" t="str">
        <x:v>Rua Francisco Tolentino, 700, Centro, Florianópolis</x:v>
      </x:c>
      <x:c r="AK35" s="86" t="str">
        <x:v>https://www.imovelweb.com.br/propriedades/apartamento-2-quartos-moderno-e-reformado-no-centro-3017244226.html</x:v>
      </x:c>
      <x:c r="AL35" s="1" t="str">
        <x:v>Somente anúncio; confirmar com fonte e vistoria</x:v>
      </x:c>
      <x:c r="AM35" s="1" t="str">
        <x:v>Área total 58 m²; abaixo do perfil preferencial, auxiliar. Elevador social e de serviço explicitado.</x:v>
      </x:c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</x:row>
    <x:row r="36">
      <x:c r="A36" s="1" t="str">
        <x:v>A15</x:v>
      </x:c>
      <x:c r="B36" s="83" t="n">
        <x:v>0</x:v>
      </x:c>
      <x:c r="C36" s="1" t="str">
        <x:v>área fora de 60 a 150 m²; conflito relevante no anúncio</x:v>
      </x:c>
      <x:c r="D36" s="7" t="n">
        <x:v>490000</x:v>
      </x:c>
      <x:c r="E36" s="85" t="str">
        <x:f>IF(B36=1,D36,"")</x:f>
      </x:c>
      <x:c r="F36" s="8" t="n">
        <x:v>58</x:v>
      </x:c>
      <x:c r="G36" s="8"/>
      <x:c r="H36" s="85" t="str">
        <x:f>IF(AND(ISNUMBER(E36),ISNUMBER(F36),F36&gt;0),E36/F36,"")</x:f>
      </x:c>
      <x:c r="I36" s="1" t="n">
        <x:v>2</x:v>
      </x:c>
      <x:c r="J36" s="1"/>
      <x:c r="K36" s="1" t="n">
        <x:v>1</x:v>
      </x:c>
      <x:c r="L36" s="1" t="n">
        <x:v>0</x:v>
      </x:c>
      <x:c r="M36" s="1" t="n">
        <x:v>1</x:v>
      </x:c>
      <x:c r="N36" s="1"/>
      <x:c r="O36" s="1" t="n">
        <x:v>1</x:v>
      </x:c>
      <x:c r="P36" s="1" t="n">
        <x:v>0</x:v>
      </x:c>
      <x:c r="Q36" s="1" t="n">
        <x:v>0</x:v>
      </x:c>
      <x:c r="R36" s="1" t="n">
        <x:v>0</x:v>
      </x:c>
      <x:c r="S36" s="1" t="n">
        <x:v>0</x:v>
      </x:c>
      <x:c r="T36" s="1" t="n">
        <x:v>0</x:v>
      </x:c>
      <x:c r="U36" s="1" t="n">
        <x:v>0</x:v>
      </x:c>
      <x:c r="V36" s="7"/>
      <x:c r="W36" s="7"/>
      <x:c r="X36" s="1" t="n">
        <x:v>0</x:v>
      </x:c>
      <x:c r="Y36" s="1" t="n">
        <x:v>0</x:v>
      </x:c>
      <x:c r="Z36" s="1" t="n">
        <x:v>0</x:v>
      </x:c>
      <x:c r="AA36" s="1" t="n">
        <x:v>0</x:v>
      </x:c>
      <x:c r="AB36" s="1" t="n">
        <x:v>0</x:v>
      </x:c>
      <x:c r="AC36" s="84"/>
      <x:c r="AD36" s="84"/>
      <x:c r="AE36" s="84"/>
      <x:c r="AF36" s="1" t="n">
        <x:v>1</x:v>
      </x:c>
      <x:c r="AG36" s="1" t="n">
        <x:v>5</x:v>
      </x:c>
      <x:c r="AH36" s="10" t="n">
        <x:v>46278.625</x:v>
      </x:c>
      <x:c r="AI36" s="1" t="str">
        <x:v>Imovelweb</x:v>
      </x:c>
      <x:c r="AJ36" s="1" t="str">
        <x:v>Endereço ocultado, Centro, Florianópolis</x:v>
      </x:c>
      <x:c r="AK36" s="86" t="str">
        <x:v>https://www.imovelweb.com.br/propriedades/2-dormitorios-a-venda-57-m-por-r%24-540.000-centro-2980664832.html</x:v>
      </x:c>
      <x:c r="AL36" s="1" t="str">
        <x:v>Somente anúncio; confirmar com fonte e vistoria</x:v>
      </x:c>
      <x:c r="AM36" s="1" t="str">
        <x:v>Título interno menciona R$ 540.000, card da página R$ 490.000. Usar R$ 490.000, valor exibido; conferir antes de modelar.</x:v>
      </x:c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</x:row>
    <x:row r="37">
      <x:c r="A37" s="1" t="str">
        <x:v>A16</x:v>
      </x:c>
      <x:c r="B37" s="83" t="n">
        <x:v>0</x:v>
      </x:c>
      <x:c r="C37" s="1" t="str">
        <x:v>área fora de 60 a 150 m²; duplicidade provável de A07</x:v>
      </x:c>
      <x:c r="D37" s="7" t="n">
        <x:v>695000</x:v>
      </x:c>
      <x:c r="E37" s="85" t="str">
        <x:f>IF(B37=1,D37,"")</x:f>
      </x:c>
      <x:c r="F37" s="8" t="n">
        <x:v>48.41</x:v>
      </x:c>
      <x:c r="G37" s="8"/>
      <x:c r="H37" s="85" t="str">
        <x:f>IF(AND(ISNUMBER(E37),ISNUMBER(F37),F37&gt;0),E37/F37,"")</x:f>
      </x:c>
      <x:c r="I37" s="1" t="n">
        <x:v>2</x:v>
      </x:c>
      <x:c r="J37" s="1"/>
      <x:c r="K37" s="1" t="n">
        <x:v>1</x:v>
      </x:c>
      <x:c r="L37" s="1" t="n">
        <x:v>1</x:v>
      </x:c>
      <x:c r="M37" s="1" t="n">
        <x:v>1</x:v>
      </x:c>
      <x:c r="N37" s="1"/>
      <x:c r="O37" s="1"/>
      <x:c r="P37" s="1" t="n">
        <x:v>0</x:v>
      </x:c>
      <x:c r="Q37" s="1" t="n">
        <x:v>0</x:v>
      </x:c>
      <x:c r="R37" s="1" t="n">
        <x:v>1</x:v>
      </x:c>
      <x:c r="S37" s="1" t="n">
        <x:v>0</x:v>
      </x:c>
      <x:c r="T37" s="1" t="n">
        <x:v>0</x:v>
      </x:c>
      <x:c r="U37" s="1" t="n">
        <x:v>0</x:v>
      </x:c>
      <x:c r="V37" s="7"/>
      <x:c r="W37" s="7"/>
      <x:c r="X37" s="1" t="n">
        <x:v>0</x:v>
      </x:c>
      <x:c r="Y37" s="1" t="n">
        <x:v>0</x:v>
      </x:c>
      <x:c r="Z37" s="1" t="n">
        <x:v>0</x:v>
      </x:c>
      <x:c r="AA37" s="1" t="n">
        <x:v>0</x:v>
      </x:c>
      <x:c r="AB37" s="1" t="n">
        <x:v>0</x:v>
      </x:c>
      <x:c r="AC37" s="84"/>
      <x:c r="AD37" s="84"/>
      <x:c r="AE37" s="84"/>
      <x:c r="AF37" s="1" t="n">
        <x:v>1</x:v>
      </x:c>
      <x:c r="AG37" s="1" t="n">
        <x:v>5</x:v>
      </x:c>
      <x:c r="AH37" s="10" t="n">
        <x:v>46278.625</x:v>
      </x:c>
      <x:c r="AI37" s="1" t="str">
        <x:v>Imovelweb</x:v>
      </x:c>
      <x:c r="AJ37" s="1" t="str">
        <x:v>Rua Almirante Alvim, 452, Centro, Florianópolis</x:v>
      </x:c>
      <x:c r="AK37" s="86" t="str">
        <x:v>https://www.imovelweb.com.br/propriedades/apartamento-2-dormitorios-48.41-m-em-centro-3009876101.html</x:v>
      </x:c>
      <x:c r="AL37" s="1" t="str">
        <x:v>Somente anúncio; confirmar com fonte e vistoria</x:v>
      </x:c>
      <x:c r="AM37" s="1" t="str">
        <x:v>Possível anúncio duplicado da unidade/endereço A07, porém anúncio e preço distintos. Excluir na depuração se a unidade for confirmada como a mesma.</x:v>
      </x:c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</x:row>
    <x:row r="38">
      <x:c r="A38" s="1" t="str">
        <x:v>A17</x:v>
      </x:c>
      <x:c r="B38" s="83" t="n">
        <x:v>0</x:v>
      </x:c>
      <x:c r="C38" s="1" t="str">
        <x:v>conflito relevante no anúncio</x:v>
      </x:c>
      <x:c r="D38" s="7" t="n">
        <x:v>735000</x:v>
      </x:c>
      <x:c r="E38" s="85" t="str">
        <x:f>IF(B38=1,D38,"")</x:f>
      </x:c>
      <x:c r="F38" s="8" t="n">
        <x:v>63</x:v>
      </x:c>
      <x:c r="G38" s="8"/>
      <x:c r="H38" s="85" t="str">
        <x:f>IF(AND(ISNUMBER(E38),ISNUMBER(F38),F38&gt;0),E38/F38,"")</x:f>
      </x:c>
      <x:c r="I38" s="1" t="n">
        <x:v>2</x:v>
      </x:c>
      <x:c r="J38" s="1"/>
      <x:c r="K38" s="1" t="n">
        <x:v>1</x:v>
      </x:c>
      <x:c r="L38" s="1" t="n">
        <x:v>1</x:v>
      </x:c>
      <x:c r="M38" s="1" t="n">
        <x:v>1</x:v>
      </x:c>
      <x:c r="N38" s="1"/>
      <x:c r="O38" s="1" t="n">
        <x:v>1</x:v>
      </x:c>
      <x:c r="P38" s="1" t="n">
        <x:v>0</x:v>
      </x:c>
      <x:c r="Q38" s="1" t="n">
        <x:v>0</x:v>
      </x:c>
      <x:c r="R38" s="1" t="n">
        <x:v>0</x:v>
      </x:c>
      <x:c r="S38" s="1" t="n">
        <x:v>0</x:v>
      </x:c>
      <x:c r="T38" s="1" t="n">
        <x:v>0</x:v>
      </x:c>
      <x:c r="U38" s="1" t="n">
        <x:v>0</x:v>
      </x:c>
      <x:c r="V38" s="7" t="n">
        <x:v>500</x:v>
      </x:c>
      <x:c r="W38" s="7"/>
      <x:c r="X38" s="1" t="n">
        <x:v>0</x:v>
      </x:c>
      <x:c r="Y38" s="1" t="n">
        <x:v>0</x:v>
      </x:c>
      <x:c r="Z38" s="1" t="n">
        <x:v>0</x:v>
      </x:c>
      <x:c r="AA38" s="1" t="n">
        <x:v>0</x:v>
      </x:c>
      <x:c r="AB38" s="1" t="n">
        <x:v>0</x:v>
      </x:c>
      <x:c r="AC38" s="84"/>
      <x:c r="AD38" s="84"/>
      <x:c r="AE38" s="84"/>
      <x:c r="AF38" s="1" t="n">
        <x:v>1</x:v>
      </x:c>
      <x:c r="AG38" s="1" t="n">
        <x:v>5</x:v>
      </x:c>
      <x:c r="AH38" s="10" t="n">
        <x:v>46278.625</x:v>
      </x:c>
      <x:c r="AI38" s="1" t="str">
        <x:v>Imovelweb</x:v>
      </x:c>
      <x:c r="AJ38" s="1" t="str">
        <x:v>Centro, Florianópolis/SC</x:v>
      </x:c>
      <x:c r="AK38" s="86" t="str">
        <x:v>https://www.imovelweb.com.br/propriedades/imoveis-no-centro-3045199847.html</x:v>
      </x:c>
      <x:c r="AL38" s="1" t="str">
        <x:v>Somente anúncio; confirmar com fonte e vistoria</x:v>
      </x:c>
      <x:c r="AM38" s="1" t="str">
        <x:v>Card lista 48 m², descrição informa área privativa 63 m² e condomínio R$728. Manter conflito documentado e validar na fonte antes da regressão.</x:v>
      </x:c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</x:row>
    <x:row r="39">
      <x:c r="A39" s="1" t="str">
        <x:v>A18</x:v>
      </x:c>
      <x:c r="B39" s="83" t="n">
        <x:v>0</x:v>
      </x:c>
      <x:c r="C39" s="1" t="str">
        <x:v>URL não individual</x:v>
      </x:c>
      <x:c r="D39" s="7" t="n">
        <x:v>1290000</x:v>
      </x:c>
      <x:c r="E39" s="85" t="str">
        <x:f>IF(B39=1,D39,"")</x:f>
      </x:c>
      <x:c r="F39" s="8" t="n">
        <x:v>89</x:v>
      </x:c>
      <x:c r="G39" s="8"/>
      <x:c r="H39" s="85" t="str">
        <x:f>IF(AND(ISNUMBER(E39),ISNUMBER(F39),F39&gt;0),E39/F39,"")</x:f>
      </x:c>
      <x:c r="I39" s="1" t="n">
        <x:v>3</x:v>
      </x:c>
      <x:c r="J39" s="1"/>
      <x:c r="K39" s="1" t="n">
        <x:v>2</x:v>
      </x:c>
      <x:c r="L39" s="1" t="n">
        <x:v>1</x:v>
      </x:c>
      <x:c r="M39" s="1"/>
      <x:c r="N39" s="1"/>
      <x:c r="O39" s="1"/>
      <x:c r="P39" s="1" t="n">
        <x:v>0</x:v>
      </x:c>
      <x:c r="Q39" s="1" t="n">
        <x:v>0</x:v>
      </x:c>
      <x:c r="R39" s="1" t="n">
        <x:v>0</x:v>
      </x:c>
      <x:c r="S39" s="1" t="n">
        <x:v>0</x:v>
      </x:c>
      <x:c r="T39" s="1" t="n">
        <x:v>0</x:v>
      </x:c>
      <x:c r="U39" s="1" t="n">
        <x:v>0</x:v>
      </x:c>
      <x:c r="V39" s="7" t="n">
        <x:v>980</x:v>
      </x:c>
      <x:c r="W39" s="7"/>
      <x:c r="X39" s="1" t="n">
        <x:v>0</x:v>
      </x:c>
      <x:c r="Y39" s="1" t="n">
        <x:v>0</x:v>
      </x:c>
      <x:c r="Z39" s="1" t="n">
        <x:v>0</x:v>
      </x:c>
      <x:c r="AA39" s="1" t="n">
        <x:v>0</x:v>
      </x:c>
      <x:c r="AB39" s="1" t="n">
        <x:v>0</x:v>
      </x:c>
      <x:c r="AC39" s="84"/>
      <x:c r="AD39" s="84"/>
      <x:c r="AE39" s="84"/>
      <x:c r="AF39" s="1" t="n">
        <x:v>1</x:v>
      </x:c>
      <x:c r="AG39" s="1" t="n">
        <x:v>6</x:v>
      </x:c>
      <x:c r="AH39" s="10" t="n">
        <x:v>46278.625</x:v>
      </x:c>
      <x:c r="AI39" s="1" t="str">
        <x:v>ZAP Imóveis</x:v>
      </x:c>
      <x:c r="AJ39" s="1" t="str">
        <x:v>Avenida Rio Branco, Centro, Florianópolis</x:v>
      </x:c>
      <x:c r="AK39" s="86" t="str">
        <x:v>https://www.zapimoveis.com.br/venda/apartamentos/sc%2Bflorianopolis%2B%2Bcentro/</x:v>
      </x:c>
      <x:c r="AL39" s="1" t="str">
        <x:v>Somente anúncio; confirmar com fonte e vistoria</x:v>
      </x:c>
      <x:c r="AM39" s="1" t="str">
        <x:v>URL é de resultado do portal, pois o índice público não expôs URL individual. Excluir se for exigida URL individual estrita.</x:v>
      </x:c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</x:row>
    <x:row r="40">
      <x:c r="A40" s="1" t="str">
        <x:v>A19</x:v>
      </x:c>
      <x:c r="B40" s="83" t="n">
        <x:v>0</x:v>
      </x:c>
      <x:c r="C40" s="1" t="str">
        <x:v>URL não individual</x:v>
      </x:c>
      <x:c r="D40" s="7" t="n">
        <x:v>1450000</x:v>
      </x:c>
      <x:c r="E40" s="85" t="str">
        <x:f>IF(B40=1,D40,"")</x:f>
      </x:c>
      <x:c r="F40" s="8" t="n">
        <x:v>122</x:v>
      </x:c>
      <x:c r="G40" s="8"/>
      <x:c r="H40" s="85" t="str">
        <x:f>IF(AND(ISNUMBER(E40),ISNUMBER(F40),F40&gt;0),E40/F40,"")</x:f>
      </x:c>
      <x:c r="I40" s="1" t="n">
        <x:v>3</x:v>
      </x:c>
      <x:c r="J40" s="1"/>
      <x:c r="K40" s="1" t="n">
        <x:v>3</x:v>
      </x:c>
      <x:c r="L40" s="1" t="n">
        <x:v>1</x:v>
      </x:c>
      <x:c r="M40" s="1"/>
      <x:c r="N40" s="1"/>
      <x:c r="O40" s="1"/>
      <x:c r="P40" s="1" t="n">
        <x:v>0</x:v>
      </x:c>
      <x:c r="Q40" s="1" t="n">
        <x:v>0</x:v>
      </x:c>
      <x:c r="R40" s="1" t="n">
        <x:v>0</x:v>
      </x:c>
      <x:c r="S40" s="1" t="n">
        <x:v>0</x:v>
      </x:c>
      <x:c r="T40" s="1" t="n">
        <x:v>0</x:v>
      </x:c>
      <x:c r="U40" s="1" t="n">
        <x:v>0</x:v>
      </x:c>
      <x:c r="V40" s="7" t="n">
        <x:v>1429</x:v>
      </x:c>
      <x:c r="W40" s="7"/>
      <x:c r="X40" s="1" t="n">
        <x:v>0</x:v>
      </x:c>
      <x:c r="Y40" s="1" t="n">
        <x:v>0</x:v>
      </x:c>
      <x:c r="Z40" s="1" t="n">
        <x:v>0</x:v>
      </x:c>
      <x:c r="AA40" s="1" t="n">
        <x:v>0</x:v>
      </x:c>
      <x:c r="AB40" s="1" t="n">
        <x:v>0</x:v>
      </x:c>
      <x:c r="AC40" s="84"/>
      <x:c r="AD40" s="84"/>
      <x:c r="AE40" s="84"/>
      <x:c r="AF40" s="1" t="n">
        <x:v>1</x:v>
      </x:c>
      <x:c r="AG40" s="1" t="n">
        <x:v>6</x:v>
      </x:c>
      <x:c r="AH40" s="10" t="n">
        <x:v>46278.625</x:v>
      </x:c>
      <x:c r="AI40" s="1" t="str">
        <x:v>ZAP Imóveis</x:v>
      </x:c>
      <x:c r="AJ40" s="1" t="str">
        <x:v>Rua Almirante Lamego, Centro, Florianópolis</x:v>
      </x:c>
      <x:c r="AK40" s="86" t="str">
        <x:v>https://www.zapimoveis.com.br/venda/apartamentos/sc%2Bflorianopolis%2B%2Bcentro/</x:v>
      </x:c>
      <x:c r="AL40" s="1" t="str">
        <x:v>Somente anúncio; confirmar com fonte e vistoria</x:v>
      </x:c>
      <x:c r="AM40" s="1" t="str">
        <x:v>URL é de resultado do portal, pois o índice público não expôs URL individual. Excluir se for exigida URL individual estrita.</x:v>
      </x:c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</x:row>
    <x:row r="41">
      <x:c r="A41" s="1" t="str">
        <x:v>A20</x:v>
      </x:c>
      <x:c r="B41" s="83" t="n">
        <x:v>0</x:v>
      </x:c>
      <x:c r="C41" s="1" t="str">
        <x:v>URL não individual</x:v>
      </x:c>
      <x:c r="D41" s="7" t="n">
        <x:v>1820000</x:v>
      </x:c>
      <x:c r="E41" s="85" t="str">
        <x:f>IF(B41=1,D41,"")</x:f>
      </x:c>
      <x:c r="F41" s="8" t="n">
        <x:v>79</x:v>
      </x:c>
      <x:c r="G41" s="8"/>
      <x:c r="H41" s="85" t="str">
        <x:f>IF(AND(ISNUMBER(E41),ISNUMBER(F41),F41&gt;0),E41/F41,"")</x:f>
      </x:c>
      <x:c r="I41" s="1" t="n">
        <x:v>2</x:v>
      </x:c>
      <x:c r="J41" s="1"/>
      <x:c r="K41" s="1" t="n">
        <x:v>2</x:v>
      </x:c>
      <x:c r="L41" s="1" t="n">
        <x:v>2</x:v>
      </x:c>
      <x:c r="M41" s="1"/>
      <x:c r="N41" s="1"/>
      <x:c r="O41" s="1"/>
      <x:c r="P41" s="1" t="n">
        <x:v>0</x:v>
      </x:c>
      <x:c r="Q41" s="1" t="n">
        <x:v>0</x:v>
      </x:c>
      <x:c r="R41" s="1" t="n">
        <x:v>0</x:v>
      </x:c>
      <x:c r="S41" s="1" t="n">
        <x:v>0</x:v>
      </x:c>
      <x:c r="T41" s="1" t="n">
        <x:v>0</x:v>
      </x:c>
      <x:c r="U41" s="1" t="n">
        <x:v>0</x:v>
      </x:c>
      <x:c r="V41" s="7" t="n">
        <x:v>1469</x:v>
      </x:c>
      <x:c r="W41" s="7"/>
      <x:c r="X41" s="1" t="n">
        <x:v>0</x:v>
      </x:c>
      <x:c r="Y41" s="1" t="n">
        <x:v>0</x:v>
      </x:c>
      <x:c r="Z41" s="1" t="n">
        <x:v>0</x:v>
      </x:c>
      <x:c r="AA41" s="1" t="n">
        <x:v>0</x:v>
      </x:c>
      <x:c r="AB41" s="1" t="n">
        <x:v>0</x:v>
      </x:c>
      <x:c r="AC41" s="84"/>
      <x:c r="AD41" s="84"/>
      <x:c r="AE41" s="84"/>
      <x:c r="AF41" s="1" t="n">
        <x:v>1</x:v>
      </x:c>
      <x:c r="AG41" s="1" t="n">
        <x:v>6</x:v>
      </x:c>
      <x:c r="AH41" s="10" t="n">
        <x:v>46278.625</x:v>
      </x:c>
      <x:c r="AI41" s="1" t="str">
        <x:v>ZAP Imóveis</x:v>
      </x:c>
      <x:c r="AJ41" s="1" t="str">
        <x:v>Rua Professor Herminio Jacques, Centro, Florianópolis</x:v>
      </x:c>
      <x:c r="AK41" s="86" t="str">
        <x:v>https://www.zapimoveis.com.br/venda/apartamentos/sc%2Bflorianopolis%2B%2Bcentro/2-quartos/</x:v>
      </x:c>
      <x:c r="AL41" s="1" t="str">
        <x:v>Somente anúncio; confirmar com fonte e vistoria</x:v>
      </x:c>
      <x:c r="AM41" s="1" t="str">
        <x:v>URL é de resultado do portal, pois o índice público não expôs URL individual. Excluir se for exigida URL individual estrita.</x:v>
      </x:c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</x:row>
    <x:row r="42">
      <x:c r="A42" s="1" t="str">
        <x:v>AUX-762228</x:v>
      </x:c>
      <x:c r="B42" s="83" t="n">
        <x:v>1</x:v>
      </x:c>
      <x:c r="C42" s="1"/>
      <x:c r="D42" s="7" t="n">
        <x:v>785000</x:v>
      </x:c>
      <x:c r="E42" s="85" t="n">
        <x:f>IF(B42=1,D42,"")</x:f>
        <x:v>785000</x:v>
      </x:c>
      <x:c r="F42" s="8" t="n">
        <x:v>60</x:v>
      </x:c>
      <x:c r="G42" s="8"/>
      <x:c r="H42" s="85" t="n">
        <x:f>IF(AND(ISNUMBER(E42),ISNUMBER(F42),F42&gt;0),E42/F42,"")</x:f>
        <x:v>13083.333333333334</x:v>
      </x:c>
      <x:c r="I42" s="1" t="n">
        <x:v>2</x:v>
      </x:c>
      <x:c r="J42" s="1" t="n">
        <x:v>1</x:v>
      </x:c>
      <x:c r="K42" s="1" t="n">
        <x:v>2</x:v>
      </x:c>
      <x:c r="L42" s="1" t="n">
        <x:v>1</x:v>
      </x:c>
      <x:c r="M42" s="1"/>
      <x:c r="N42" s="1"/>
      <x:c r="O42" s="1"/>
      <x:c r="P42" s="1" t="n">
        <x:v>0</x:v>
      </x:c>
      <x:c r="Q42" s="1" t="n">
        <x:v>1</x:v>
      </x:c>
      <x:c r="R42" s="1" t="n">
        <x:v>0</x:v>
      </x:c>
      <x:c r="S42" s="1" t="n">
        <x:v>0</x:v>
      </x:c>
      <x:c r="T42" s="1" t="n">
        <x:v>0</x:v>
      </x:c>
      <x:c r="U42" s="1" t="n">
        <x:v>0</x:v>
      </x:c>
      <x:c r="V42" s="7" t="n">
        <x:v>911</x:v>
      </x:c>
      <x:c r="W42" s="7" t="n">
        <x:v>1369</x:v>
      </x:c>
      <x:c r="X42" s="1" t="n">
        <x:v>0</x:v>
      </x:c>
      <x:c r="Y42" s="1" t="n">
        <x:v>0</x:v>
      </x:c>
      <x:c r="Z42" s="1" t="n">
        <x:v>1</x:v>
      </x:c>
      <x:c r="AA42" s="1" t="n">
        <x:v>1</x:v>
      </x:c>
      <x:c r="AB42" s="1" t="n">
        <x:v>1</x:v>
      </x:c>
      <x:c r="AC42" s="84"/>
      <x:c r="AD42" s="84"/>
      <x:c r="AE42" s="84"/>
      <x:c r="AF42" s="1" t="n">
        <x:v>1</x:v>
      </x:c>
      <x:c r="AG42" s="1" t="n">
        <x:v>1</x:v>
      </x:c>
      <x:c r="AH42" s="10" t="n">
        <x:v>46278.625</x:v>
      </x:c>
      <x:c r="AI42" s="1" t="str">
        <x:v>Auxiliadora Predial</x:v>
      </x:c>
      <x:c r="AJ42" s="1" t="str">
        <x:v>Rua Ferreira Lima, Centro, Florianópolis</x:v>
      </x:c>
      <x:c r="AK42" s="86" t="str">
        <x:v>https://www.auxiliadorapredial.com.br/imovel/venda/762228</x:v>
      </x:c>
      <x:c r="AL42" s="1" t="str">
        <x:v>Somente anúncio; confirmar com fonte e vistoria</x:v>
      </x:c>
      <x:c r="AM42" s="1" t="str">
        <x:v>Sacada; churrasqueira a gás; vaga livre e coberta. Valores sujeitos à alteração no anúncio.</x:v>
      </x:c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</x:row>
    <x:row r="43">
      <x:c r="A43" s="1" t="str">
        <x:v>AUX-839613</x:v>
      </x:c>
      <x:c r="B43" s="83" t="n">
        <x:v>1</x:v>
      </x:c>
      <x:c r="C43" s="1"/>
      <x:c r="D43" s="7" t="n">
        <x:v>720000</x:v>
      </x:c>
      <x:c r="E43" s="85" t="n">
        <x:f>IF(B43=1,D43,"")</x:f>
        <x:v>720000</x:v>
      </x:c>
      <x:c r="F43" s="8" t="n">
        <x:v>68</x:v>
      </x:c>
      <x:c r="G43" s="8"/>
      <x:c r="H43" s="85" t="n">
        <x:f>IF(AND(ISNUMBER(E43),ISNUMBER(F43),F43&gt;0),E43/F43,"")</x:f>
        <x:v>10588.235294117647</x:v>
      </x:c>
      <x:c r="I43" s="1" t="n">
        <x:v>2</x:v>
      </x:c>
      <x:c r="J43" s="1"/>
      <x:c r="K43" s="1" t="n">
        <x:v>1</x:v>
      </x:c>
      <x:c r="L43" s="1" t="n">
        <x:v>1</x:v>
      </x:c>
      <x:c r="M43" s="1" t="n">
        <x:v>1</x:v>
      </x:c>
      <x:c r="N43" s="1"/>
      <x:c r="O43" s="1"/>
      <x:c r="P43" s="1" t="n">
        <x:v>0</x:v>
      </x:c>
      <x:c r="Q43" s="1" t="n">
        <x:v>0</x:v>
      </x:c>
      <x:c r="R43" s="1" t="n">
        <x:v>0</x:v>
      </x:c>
      <x:c r="S43" s="1" t="n">
        <x:v>0</x:v>
      </x:c>
      <x:c r="T43" s="1" t="n">
        <x:v>0</x:v>
      </x:c>
      <x:c r="U43" s="1" t="n">
        <x:v>0</x:v>
      </x:c>
      <x:c r="V43" s="7" t="n">
        <x:v>1181</x:v>
      </x:c>
      <x:c r="W43" s="7" t="n">
        <x:v>1708</x:v>
      </x:c>
      <x:c r="X43" s="1" t="n">
        <x:v>1</x:v>
      </x:c>
      <x:c r="Y43" s="1" t="n">
        <x:v>0</x:v>
      </x:c>
      <x:c r="Z43" s="1" t="n">
        <x:v>0</x:v>
      </x:c>
      <x:c r="AA43" s="1" t="n">
        <x:v>0</x:v>
      </x:c>
      <x:c r="AB43" s="1" t="n">
        <x:v>0</x:v>
      </x:c>
      <x:c r="AC43" s="84"/>
      <x:c r="AD43" s="84"/>
      <x:c r="AE43" s="84"/>
      <x:c r="AF43" s="1" t="n">
        <x:v>1</x:v>
      </x:c>
      <x:c r="AG43" s="1" t="n">
        <x:v>1</x:v>
      </x:c>
      <x:c r="AH43" s="10" t="n">
        <x:v>46278.625</x:v>
      </x:c>
      <x:c r="AI43" s="1" t="str">
        <x:v>Auxiliadora Predial</x:v>
      </x:c>
      <x:c r="AJ43" s="1" t="str">
        <x:v>Avenida Hercílio Luz, Centro, Florianópolis</x:v>
      </x:c>
      <x:c r="AK43" s="86" t="str">
        <x:v>https://www.auxiliadorapredial.com.br/imovel/venda/839613</x:v>
      </x:c>
      <x:c r="AL43" s="1" t="str">
        <x:v>Somente anúncio; confirmar com fonte e vistoria</x:v>
      </x:c>
      <x:c r="AM43" s="1" t="str">
        <x:v>Sol da manhã; piso vinílico; portaria 24 h; dois elevadores.</x:v>
      </x:c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</x:row>
    <x:row r="44">
      <x:c r="A44" s="1" t="str">
        <x:v>AUX-703211</x:v>
      </x:c>
      <x:c r="B44" s="83" t="n">
        <x:v>1</x:v>
      </x:c>
      <x:c r="C44" s="1"/>
      <x:c r="D44" s="7" t="n">
        <x:v>750000</x:v>
      </x:c>
      <x:c r="E44" s="85" t="n">
        <x:f>IF(B44=1,D44,"")</x:f>
        <x:v>750000</x:v>
      </x:c>
      <x:c r="F44" s="8" t="n">
        <x:v>61.96</x:v>
      </x:c>
      <x:c r="G44" s="8"/>
      <x:c r="H44" s="85" t="n">
        <x:f>IF(AND(ISNUMBER(E44),ISNUMBER(F44),F44&gt;0),E44/F44,"")</x:f>
        <x:v>12104.583602324079</x:v>
      </x:c>
      <x:c r="I44" s="1" t="n">
        <x:v>2</x:v>
      </x:c>
      <x:c r="J44" s="1"/>
      <x:c r="K44" s="1" t="n">
        <x:v>1</x:v>
      </x:c>
      <x:c r="L44" s="1"/>
      <x:c r="M44" s="1" t="n">
        <x:v>1</x:v>
      </x:c>
      <x:c r="N44" s="1"/>
      <x:c r="O44" s="1"/>
      <x:c r="P44" s="1" t="n">
        <x:v>0</x:v>
      </x:c>
      <x:c r="Q44" s="1" t="n">
        <x:v>0</x:v>
      </x:c>
      <x:c r="R44" s="1" t="n">
        <x:v>0</x:v>
      </x:c>
      <x:c r="S44" s="1" t="n">
        <x:v>0</x:v>
      </x:c>
      <x:c r="T44" s="1" t="n">
        <x:v>0</x:v>
      </x:c>
      <x:c r="U44" s="1" t="n">
        <x:v>0</x:v>
      </x:c>
      <x:c r="V44" s="7" t="n">
        <x:v>630</x:v>
      </x:c>
      <x:c r="W44" s="7" t="n">
        <x:v>1000</x:v>
      </x:c>
      <x:c r="X44" s="1" t="n">
        <x:v>1</x:v>
      </x:c>
      <x:c r="Y44" s="1" t="n">
        <x:v>0</x:v>
      </x:c>
      <x:c r="Z44" s="1" t="n">
        <x:v>0</x:v>
      </x:c>
      <x:c r="AA44" s="1" t="n">
        <x:v>0</x:v>
      </x:c>
      <x:c r="AB44" s="1" t="n">
        <x:v>0</x:v>
      </x:c>
      <x:c r="AC44" s="84"/>
      <x:c r="AD44" s="84"/>
      <x:c r="AE44" s="84"/>
      <x:c r="AF44" s="1" t="n">
        <x:v>1</x:v>
      </x:c>
      <x:c r="AG44" s="1" t="n">
        <x:v>1</x:v>
      </x:c>
      <x:c r="AH44" s="10" t="n">
        <x:v>46278.625</x:v>
      </x:c>
      <x:c r="AI44" s="1" t="str">
        <x:v>Auxiliadora Predial</x:v>
      </x:c>
      <x:c r="AJ44" s="1" t="str">
        <x:v>Rua Tenente Silveira, Centro, Florianópolis</x:v>
      </x:c>
      <x:c r="AK44" s="86" t="str">
        <x:v>https://www.auxiliadorapredial.com.br/imovel/venda/703211/apartamento-sc%2Bflorianopolis%2Bcentro</x:v>
      </x:c>
      <x:c r="AL44" s="1" t="str">
        <x:v>Somente anúncio; confirmar com fonte e vistoria</x:v>
      </x:c>
      <x:c r="AM44" s="1" t="str">
        <x:v>Portaria 24 h e bicicletário.</x:v>
      </x:c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</x:row>
    <x:row r="45">
      <x:c r="A45" s="1" t="str">
        <x:v>AUX-784794</x:v>
      </x:c>
      <x:c r="B45" s="83" t="n">
        <x:v>1</x:v>
      </x:c>
      <x:c r="C45" s="1"/>
      <x:c r="D45" s="7" t="n">
        <x:v>1390000</x:v>
      </x:c>
      <x:c r="E45" s="85" t="n">
        <x:f>IF(B45=1,D45,"")</x:f>
        <x:v>1390000</x:v>
      </x:c>
      <x:c r="F45" s="8" t="n">
        <x:v>87</x:v>
      </x:c>
      <x:c r="G45" s="8"/>
      <x:c r="H45" s="85" t="n">
        <x:f>IF(AND(ISNUMBER(E45),ISNUMBER(F45),F45&gt;0),E45/F45,"")</x:f>
        <x:v>15977.011494252874</x:v>
      </x:c>
      <x:c r="I45" s="1" t="n">
        <x:v>3</x:v>
      </x:c>
      <x:c r="J45" s="1" t="n">
        <x:v>1</x:v>
      </x:c>
      <x:c r="K45" s="1" t="n">
        <x:v>2</x:v>
      </x:c>
      <x:c r="L45" s="1" t="n">
        <x:v>2</x:v>
      </x:c>
      <x:c r="M45" s="1" t="n">
        <x:v>1</x:v>
      </x:c>
      <x:c r="N45" s="1"/>
      <x:c r="O45" s="1"/>
      <x:c r="P45" s="1" t="n">
        <x:v>0</x:v>
      </x:c>
      <x:c r="Q45" s="1" t="n">
        <x:v>1</x:v>
      </x:c>
      <x:c r="R45" s="1" t="n">
        <x:v>0</x:v>
      </x:c>
      <x:c r="S45" s="1" t="n">
        <x:v>0</x:v>
      </x:c>
      <x:c r="T45" s="1" t="n">
        <x:v>0</x:v>
      </x:c>
      <x:c r="U45" s="1" t="n">
        <x:v>0</x:v>
      </x:c>
      <x:c r="V45" s="7" t="n">
        <x:v>1100</x:v>
      </x:c>
      <x:c r="W45" s="7" t="n">
        <x:v>5100</x:v>
      </x:c>
      <x:c r="X45" s="1" t="n">
        <x:v>0</x:v>
      </x:c>
      <x:c r="Y45" s="1" t="n">
        <x:v>0</x:v>
      </x:c>
      <x:c r="Z45" s="1" t="n">
        <x:v>1</x:v>
      </x:c>
      <x:c r="AA45" s="1" t="n">
        <x:v>1</x:v>
      </x:c>
      <x:c r="AB45" s="1" t="n">
        <x:v>0</x:v>
      </x:c>
      <x:c r="AC45" s="84"/>
      <x:c r="AD45" s="84"/>
      <x:c r="AE45" s="84"/>
      <x:c r="AF45" s="1" t="n">
        <x:v>1</x:v>
      </x:c>
      <x:c r="AG45" s="1" t="n">
        <x:v>1</x:v>
      </x:c>
      <x:c r="AH45" s="10" t="n">
        <x:v>46278.625</x:v>
      </x:c>
      <x:c r="AI45" s="1" t="str">
        <x:v>Auxiliadora Predial</x:v>
      </x:c>
      <x:c r="AJ45" s="1" t="str">
        <x:v>Rua Professor Herminio Jacques, Centro, Florianópolis</x:v>
      </x:c>
      <x:c r="AK45" s="86" t="str">
        <x:v>https://www.auxiliadorapredial.com.br/imovel/venda/784794/apartamento-centro-florianopolis-santa-catarina</x:v>
      </x:c>
      <x:c r="AL45" s="1" t="str">
        <x:v>Somente anúncio; confirmar com fonte e vistoria</x:v>
      </x:c>
      <x:c r="AM45" s="1" t="str">
        <x:v>Sacada com churrasqueira; vagas cobertas e livres; portaria digital.</x:v>
      </x:c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</x:row>
    <x:row r="46">
      <x:c r="A46" s="1" t="str">
        <x:v>AUX-688638</x:v>
      </x:c>
      <x:c r="B46" s="83" t="n">
        <x:v>1</x:v>
      </x:c>
      <x:c r="C46" s="1"/>
      <x:c r="D46" s="7" t="n">
        <x:v>789000</x:v>
      </x:c>
      <x:c r="E46" s="85" t="n">
        <x:f>IF(B46=1,D46,"")</x:f>
        <x:v>789000</x:v>
      </x:c>
      <x:c r="F46" s="8" t="n">
        <x:v>69</x:v>
      </x:c>
      <x:c r="G46" s="8"/>
      <x:c r="H46" s="85" t="n">
        <x:f>IF(AND(ISNUMBER(E46),ISNUMBER(F46),F46&gt;0),E46/F46,"")</x:f>
        <x:v>11434.782608695652</x:v>
      </x:c>
      <x:c r="I46" s="1" t="n">
        <x:v>2</x:v>
      </x:c>
      <x:c r="J46" s="1"/>
      <x:c r="K46" s="1" t="n">
        <x:v>1</x:v>
      </x:c>
      <x:c r="L46" s="1" t="n">
        <x:v>1</x:v>
      </x:c>
      <x:c r="M46" s="1"/>
      <x:c r="N46" s="1"/>
      <x:c r="O46" s="1" t="n">
        <x:v>1</x:v>
      </x:c>
      <x:c r="P46" s="1" t="n">
        <x:v>0</x:v>
      </x:c>
      <x:c r="Q46" s="1" t="n">
        <x:v>0</x:v>
      </x:c>
      <x:c r="R46" s="1" t="n">
        <x:v>0</x:v>
      </x:c>
      <x:c r="S46" s="1" t="n">
        <x:v>0</x:v>
      </x:c>
      <x:c r="T46" s="1" t="n">
        <x:v>0</x:v>
      </x:c>
      <x:c r="U46" s="1" t="n">
        <x:v>0</x:v>
      </x:c>
      <x:c r="V46" s="7" t="n">
        <x:v>950</x:v>
      </x:c>
      <x:c r="W46" s="7" t="n">
        <x:v>1300</x:v>
      </x:c>
      <x:c r="X46" s="1" t="n">
        <x:v>1</x:v>
      </x:c>
      <x:c r="Y46" s="1" t="n">
        <x:v>0</x:v>
      </x:c>
      <x:c r="Z46" s="1" t="n">
        <x:v>1</x:v>
      </x:c>
      <x:c r="AA46" s="1" t="n">
        <x:v>0</x:v>
      </x:c>
      <x:c r="AB46" s="1" t="n">
        <x:v>1</x:v>
      </x:c>
      <x:c r="AC46" s="84"/>
      <x:c r="AD46" s="84"/>
      <x:c r="AE46" s="84"/>
      <x:c r="AF46" s="1" t="n">
        <x:v>1</x:v>
      </x:c>
      <x:c r="AG46" s="1" t="n">
        <x:v>1</x:v>
      </x:c>
      <x:c r="AH46" s="10" t="n">
        <x:v>46278.625</x:v>
      </x:c>
      <x:c r="AI46" s="1" t="str">
        <x:v>Auxiliadora Predial</x:v>
      </x:c>
      <x:c r="AJ46" s="1" t="str">
        <x:v>Rua Tenente Silveira, Centro, Florianópolis</x:v>
      </x:c>
      <x:c r="AK46" s="86" t="str">
        <x:v>https://www.auxiliadorapredial.com.br/imovel/venda/688638/apartamento-sc%2Bflorianopolis%2Bcentro</x:v>
      </x:c>
      <x:c r="AL46" s="1" t="str">
        <x:v>Somente anúncio; confirmar com fonte e vistoria</x:v>
      </x:c>
      <x:c r="AM46" s="1" t="str">
        <x:v>Sacada fechada; vaga livre; portaria 24 h.</x:v>
      </x:c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</x:row>
    <x:row r="47">
      <x:c r="A47" s="1" t="str">
        <x:v>AUX-351654</x:v>
      </x:c>
      <x:c r="B47" s="83" t="n">
        <x:v>1</x:v>
      </x:c>
      <x:c r="C47" s="1"/>
      <x:c r="D47" s="7" t="n">
        <x:v>945000</x:v>
      </x:c>
      <x:c r="E47" s="85" t="n">
        <x:f>IF(B47=1,D47,"")</x:f>
        <x:v>945000</x:v>
      </x:c>
      <x:c r="F47" s="8" t="n">
        <x:v>103</x:v>
      </x:c>
      <x:c r="G47" s="8"/>
      <x:c r="H47" s="85" t="n">
        <x:f>IF(AND(ISNUMBER(E47),ISNUMBER(F47),F47&gt;0),E47/F47,"")</x:f>
        <x:v>9174.757281553399</x:v>
      </x:c>
      <x:c r="I47" s="1" t="n">
        <x:v>3</x:v>
      </x:c>
      <x:c r="J47" s="1" t="n">
        <x:v>1</x:v>
      </x:c>
      <x:c r="K47" s="1" t="n">
        <x:v>4</x:v>
      </x:c>
      <x:c r="L47" s="1" t="n">
        <x:v>1</x:v>
      </x:c>
      <x:c r="M47" s="1" t="n">
        <x:v>1</x:v>
      </x:c>
      <x:c r="N47" s="1"/>
      <x:c r="O47" s="1"/>
      <x:c r="P47" s="1" t="n">
        <x:v>0</x:v>
      </x:c>
      <x:c r="Q47" s="1" t="n">
        <x:v>1</x:v>
      </x:c>
      <x:c r="R47" s="1" t="n">
        <x:v>1</x:v>
      </x:c>
      <x:c r="S47" s="1" t="n">
        <x:v>0</x:v>
      </x:c>
      <x:c r="T47" s="1" t="n">
        <x:v>0</x:v>
      </x:c>
      <x:c r="U47" s="1" t="n">
        <x:v>0</x:v>
      </x:c>
      <x:c r="V47" s="7" t="n">
        <x:v>600</x:v>
      </x:c>
      <x:c r="W47" s="7" t="n">
        <x:v>2000</x:v>
      </x:c>
      <x:c r="X47" s="1" t="n">
        <x:v>0</x:v>
      </x:c>
      <x:c r="Y47" s="1" t="n">
        <x:v>0</x:v>
      </x:c>
      <x:c r="Z47" s="1" t="n">
        <x:v>0</x:v>
      </x:c>
      <x:c r="AA47" s="1" t="n">
        <x:v>0</x:v>
      </x:c>
      <x:c r="AB47" s="1" t="n">
        <x:v>0</x:v>
      </x:c>
      <x:c r="AC47" s="84"/>
      <x:c r="AD47" s="84"/>
      <x:c r="AE47" s="84"/>
      <x:c r="AF47" s="1" t="n">
        <x:v>1</x:v>
      </x:c>
      <x:c r="AG47" s="1" t="n">
        <x:v>1</x:v>
      </x:c>
      <x:c r="AH47" s="10" t="n">
        <x:v>46278.625</x:v>
      </x:c>
      <x:c r="AI47" s="1" t="str">
        <x:v>Auxiliadora Predial</x:v>
      </x:c>
      <x:c r="AJ47" s="1" t="str">
        <x:v>Avenida Mauro Ramos, Centro, Florianópolis</x:v>
      </x:c>
      <x:c r="AK47" s="86" t="str">
        <x:v>https://www.auxiliadorapredial.com.br/imovel/venda/351654/apartamento-sc%2Bflorianopolis%2Bcentro</x:v>
      </x:c>
      <x:c r="AL47" s="1" t="str">
        <x:v>Somente anúncio; confirmar com fonte e vistoria</x:v>
      </x:c>
      <x:c r="AM47" s="1" t="str">
        <x:v>Dependência de empregado.</x:v>
      </x:c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</x:row>
    <x:row r="48">
      <x:c r="A48" s="1" t="str">
        <x:v>AUX-590694</x:v>
      </x:c>
      <x:c r="B48" s="83" t="n">
        <x:v>1</x:v>
      </x:c>
      <x:c r="C48" s="1"/>
      <x:c r="D48" s="7" t="n">
        <x:v>758800</x:v>
      </x:c>
      <x:c r="E48" s="85" t="n">
        <x:f>IF(B48=1,D48,"")</x:f>
        <x:v>758800</x:v>
      </x:c>
      <x:c r="F48" s="8" t="n">
        <x:v>93.69</x:v>
      </x:c>
      <x:c r="G48" s="8"/>
      <x:c r="H48" s="85" t="n">
        <x:f>IF(AND(ISNUMBER(E48),ISNUMBER(F48),F48&gt;0),E48/F48,"")</x:f>
        <x:v>8099.050058704238</x:v>
      </x:c>
      <x:c r="I48" s="1" t="n">
        <x:v>3</x:v>
      </x:c>
      <x:c r="J48" s="1" t="n">
        <x:v>1</x:v>
      </x:c>
      <x:c r="K48" s="1" t="n">
        <x:v>2</x:v>
      </x:c>
      <x:c r="L48" s="1"/>
      <x:c r="M48" s="1" t="n">
        <x:v>1</x:v>
      </x:c>
      <x:c r="N48" s="1"/>
      <x:c r="O48" s="1"/>
      <x:c r="P48" s="1" t="n">
        <x:v>0</x:v>
      </x:c>
      <x:c r="Q48" s="1" t="n">
        <x:v>0</x:v>
      </x:c>
      <x:c r="R48" s="1" t="n">
        <x:v>0</x:v>
      </x:c>
      <x:c r="S48" s="1" t="n">
        <x:v>0</x:v>
      </x:c>
      <x:c r="T48" s="1" t="n">
        <x:v>0</x:v>
      </x:c>
      <x:c r="U48" s="1" t="n">
        <x:v>0</x:v>
      </x:c>
      <x:c r="V48" s="7" t="n">
        <x:v>894</x:v>
      </x:c>
      <x:c r="W48" s="7" t="n">
        <x:v>230</x:v>
      </x:c>
      <x:c r="X48" s="1" t="n">
        <x:v>1</x:v>
      </x:c>
      <x:c r="Y48" s="1" t="n">
        <x:v>0</x:v>
      </x:c>
      <x:c r="Z48" s="1" t="n">
        <x:v>0</x:v>
      </x:c>
      <x:c r="AA48" s="1" t="n">
        <x:v>0</x:v>
      </x:c>
      <x:c r="AB48" s="1" t="n">
        <x:v>0</x:v>
      </x:c>
      <x:c r="AC48" s="84"/>
      <x:c r="AD48" s="84"/>
      <x:c r="AE48" s="84"/>
      <x:c r="AF48" s="1" t="n">
        <x:v>1</x:v>
      </x:c>
      <x:c r="AG48" s="1" t="n">
        <x:v>1</x:v>
      </x:c>
      <x:c r="AH48" s="10" t="n">
        <x:v>46278.625</x:v>
      </x:c>
      <x:c r="AI48" s="1" t="str">
        <x:v>Auxiliadora Predial</x:v>
      </x:c>
      <x:c r="AJ48" s="1" t="str">
        <x:v>Avenida Hercílio Luz, Centro, Florianópolis</x:v>
      </x:c>
      <x:c r="AK48" s="86" t="str">
        <x:v>https://www.auxiliadorapredial.com.br/imovel/venda/590694/apartamento-centro-florianopolis-santa-catarina</x:v>
      </x:c>
      <x:c r="AL48" s="1" t="str">
        <x:v>Somente anúncio; confirmar com fonte e vistoria</x:v>
      </x:c>
      <x:c r="AM48" s="1" t="str">
        <x:v>Portaria 24 h; dois elevadores; salão de festas.</x:v>
      </x:c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</x:row>
    <x:row r="49">
      <x:c r="A49" s="1" t="str">
        <x:v>AUX-771095</x:v>
      </x:c>
      <x:c r="B49" s="83" t="n">
        <x:v>1</x:v>
      </x:c>
      <x:c r="C49" s="1"/>
      <x:c r="D49" s="7" t="n">
        <x:v>2495000</x:v>
      </x:c>
      <x:c r="E49" s="85" t="n">
        <x:f>IF(B49=1,D49,"")</x:f>
        <x:v>2495000</x:v>
      </x:c>
      <x:c r="F49" s="8" t="n">
        <x:v>142.77</x:v>
      </x:c>
      <x:c r="G49" s="8"/>
      <x:c r="H49" s="85" t="n">
        <x:f>IF(AND(ISNUMBER(E49),ISNUMBER(F49),F49&gt;0),E49/F49,"")</x:f>
        <x:v>17475.66015269314</x:v>
      </x:c>
      <x:c r="I49" s="1" t="n">
        <x:v>3</x:v>
      </x:c>
      <x:c r="J49" s="1" t="n">
        <x:v>1</x:v>
      </x:c>
      <x:c r="K49" s="1" t="n">
        <x:v>3</x:v>
      </x:c>
      <x:c r="L49" s="1" t="n">
        <x:v>2</x:v>
      </x:c>
      <x:c r="M49" s="1" t="n">
        <x:v>1</x:v>
      </x:c>
      <x:c r="N49" s="1"/>
      <x:c r="O49" s="1"/>
      <x:c r="P49" s="1" t="n">
        <x:v>0</x:v>
      </x:c>
      <x:c r="Q49" s="1" t="n">
        <x:v>0</x:v>
      </x:c>
      <x:c r="R49" s="1" t="n">
        <x:v>0</x:v>
      </x:c>
      <x:c r="S49" s="1" t="n">
        <x:v>0</x:v>
      </x:c>
      <x:c r="T49" s="1" t="n">
        <x:v>0</x:v>
      </x:c>
      <x:c r="U49" s="1" t="n">
        <x:v>0</x:v>
      </x:c>
      <x:c r="V49" s="7" t="n">
        <x:v>0</x:v>
      </x:c>
      <x:c r="W49" s="7" t="n">
        <x:v>4129</x:v>
      </x:c>
      <x:c r="X49" s="1" t="n">
        <x:v>0</x:v>
      </x:c>
      <x:c r="Y49" s="1" t="n">
        <x:v>0</x:v>
      </x:c>
      <x:c r="Z49" s="1" t="n">
        <x:v>0</x:v>
      </x:c>
      <x:c r="AA49" s="1" t="n">
        <x:v>0</x:v>
      </x:c>
      <x:c r="AB49" s="1" t="n">
        <x:v>1</x:v>
      </x:c>
      <x:c r="AC49" s="84"/>
      <x:c r="AD49" s="84"/>
      <x:c r="AE49" s="84"/>
      <x:c r="AF49" s="1" t="n">
        <x:v>1</x:v>
      </x:c>
      <x:c r="AG49" s="1" t="n">
        <x:v>1</x:v>
      </x:c>
      <x:c r="AH49" s="10" t="n">
        <x:v>46278.625</x:v>
      </x:c>
      <x:c r="AI49" s="1" t="str">
        <x:v>Auxiliadora Predial</x:v>
      </x:c>
      <x:c r="AJ49" s="1" t="str">
        <x:v>Alameda Adolfo Konder, Centro, Florianópolis</x:v>
      </x:c>
      <x:c r="AK49" s="86" t="str">
        <x:v>https://www.auxiliadorapredial.com.br/imovel/venda/771095/apartamento-sc%2Bflorianopolis%2Bcentro</x:v>
      </x:c>
      <x:c r="AL49" s="1" t="str">
        <x:v>Somente anúncio; confirmar com fonte e vistoria</x:v>
      </x:c>
      <x:c r="AM49" s="1" t="str">
        <x:v>Vista para Ponte Hercílio Luz; vagas livres; hobby box. Condomínio informado como R$ 0 no anúncio.</x:v>
      </x:c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</x:row>
    <x:row r="50">
      <x:c r="A50" s="1" t="str">
        <x:v>AUX-765717</x:v>
      </x:c>
      <x:c r="B50" s="83" t="n">
        <x:v>1</x:v>
      </x:c>
      <x:c r="C50" s="1"/>
      <x:c r="D50" s="7" t="n">
        <x:v>570000</x:v>
      </x:c>
      <x:c r="E50" s="85" t="n">
        <x:f>IF(B50=1,D50,"")</x:f>
        <x:v>570000</x:v>
      </x:c>
      <x:c r="F50" s="8" t="n">
        <x:v>70</x:v>
      </x:c>
      <x:c r="G50" s="8"/>
      <x:c r="H50" s="85" t="n">
        <x:f>IF(AND(ISNUMBER(E50),ISNUMBER(F50),F50&gt;0),E50/F50,"")</x:f>
        <x:v>8142.857142857143</x:v>
      </x:c>
      <x:c r="I50" s="1" t="n">
        <x:v>2</x:v>
      </x:c>
      <x:c r="J50" s="1" t="n">
        <x:v>1</x:v>
      </x:c>
      <x:c r="K50" s="1" t="n">
        <x:v>2</x:v>
      </x:c>
      <x:c r="L50" s="1" t="n">
        <x:v>1</x:v>
      </x:c>
      <x:c r="M50" s="1" t="n">
        <x:v>1</x:v>
      </x:c>
      <x:c r="N50" s="1"/>
      <x:c r="O50" s="1"/>
      <x:c r="P50" s="1" t="n">
        <x:v>0</x:v>
      </x:c>
      <x:c r="Q50" s="1" t="n">
        <x:v>1</x:v>
      </x:c>
      <x:c r="R50" s="1" t="n">
        <x:v>0</x:v>
      </x:c>
      <x:c r="S50" s="1" t="n">
        <x:v>0</x:v>
      </x:c>
      <x:c r="T50" s="1" t="n">
        <x:v>0</x:v>
      </x:c>
      <x:c r="U50" s="1" t="n">
        <x:v>0</x:v>
      </x:c>
      <x:c r="V50" s="7" t="n">
        <x:v>1023</x:v>
      </x:c>
      <x:c r="W50" s="7" t="n">
        <x:v>1800</x:v>
      </x:c>
      <x:c r="X50" s="1" t="n">
        <x:v>1</x:v>
      </x:c>
      <x:c r="Y50" s="1" t="n">
        <x:v>1</x:v>
      </x:c>
      <x:c r="Z50" s="1" t="n">
        <x:v>0</x:v>
      </x:c>
      <x:c r="AA50" s="1" t="n">
        <x:v>0</x:v>
      </x:c>
      <x:c r="AB50" s="1" t="n">
        <x:v>0</x:v>
      </x:c>
      <x:c r="AC50" s="84"/>
      <x:c r="AD50" s="84"/>
      <x:c r="AE50" s="84"/>
      <x:c r="AF50" s="1" t="n">
        <x:v>1</x:v>
      </x:c>
      <x:c r="AG50" s="1" t="n">
        <x:v>1</x:v>
      </x:c>
      <x:c r="AH50" s="10" t="n">
        <x:v>46278.625</x:v>
      </x:c>
      <x:c r="AI50" s="1" t="str">
        <x:v>Auxiliadora Predial</x:v>
      </x:c>
      <x:c r="AJ50" s="1" t="str">
        <x:v>Avenida Mauro Ramos, Centro, Florianópolis</x:v>
      </x:c>
      <x:c r="AK50" s="86" t="str">
        <x:v>https://www.auxiliadorapredial.com.br/imovel/venda/765717/apartamento-sc%2Bflorianopolis%2Bcentro</x:v>
      </x:c>
      <x:c r="AL50" s="1" t="str">
        <x:v>Somente anúncio; confirmar com fonte e vistoria</x:v>
      </x:c>
      <x:c r="AM50" s="1" t="str">
        <x:v>Vaga coberta; posição solar norte; portaria 24 h; piscina.</x:v>
      </x:c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</x:row>
    <x:row r="51">
      <x:c r="A51" s="1" t="str">
        <x:v>AUX-637301</x:v>
      </x:c>
      <x:c r="B51" s="83" t="n">
        <x:v>1</x:v>
      </x:c>
      <x:c r="C51" s="1"/>
      <x:c r="D51" s="7" t="n">
        <x:v>955000</x:v>
      </x:c>
      <x:c r="E51" s="85" t="n">
        <x:f>IF(B51=1,D51,"")</x:f>
        <x:v>955000</x:v>
      </x:c>
      <x:c r="F51" s="8" t="n">
        <x:v>122</x:v>
      </x:c>
      <x:c r="G51" s="8"/>
      <x:c r="H51" s="85" t="n">
        <x:f>IF(AND(ISNUMBER(E51),ISNUMBER(F51),F51&gt;0),E51/F51,"")</x:f>
        <x:v>7827.868852459016</x:v>
      </x:c>
      <x:c r="I51" s="1" t="n">
        <x:v>3</x:v>
      </x:c>
      <x:c r="J51" s="1" t="n">
        <x:v>1</x:v>
      </x:c>
      <x:c r="K51" s="1" t="n">
        <x:v>3</x:v>
      </x:c>
      <x:c r="L51" s="1" t="n">
        <x:v>1</x:v>
      </x:c>
      <x:c r="M51" s="1" t="n">
        <x:v>1</x:v>
      </x:c>
      <x:c r="N51" s="1"/>
      <x:c r="O51" s="1"/>
      <x:c r="P51" s="1" t="n">
        <x:v>0</x:v>
      </x:c>
      <x:c r="Q51" s="1" t="n">
        <x:v>0</x:v>
      </x:c>
      <x:c r="R51" s="1" t="n">
        <x:v>0</x:v>
      </x:c>
      <x:c r="S51" s="1" t="n">
        <x:v>0</x:v>
      </x:c>
      <x:c r="T51" s="1" t="n">
        <x:v>0</x:v>
      </x:c>
      <x:c r="U51" s="1" t="n">
        <x:v>0</x:v>
      </x:c>
      <x:c r="V51" s="7" t="n">
        <x:v>750</x:v>
      </x:c>
      <x:c r="W51" s="7" t="n">
        <x:v>1800</x:v>
      </x:c>
      <x:c r="X51" s="1" t="n">
        <x:v>0</x:v>
      </x:c>
      <x:c r="Y51" s="1" t="n">
        <x:v>0</x:v>
      </x:c>
      <x:c r="Z51" s="1" t="n">
        <x:v>1</x:v>
      </x:c>
      <x:c r="AA51" s="1" t="n">
        <x:v>0</x:v>
      </x:c>
      <x:c r="AB51" s="1" t="n">
        <x:v>0</x:v>
      </x:c>
      <x:c r="AC51" s="84"/>
      <x:c r="AD51" s="84"/>
      <x:c r="AE51" s="84"/>
      <x:c r="AF51" s="1" t="n">
        <x:v>1</x:v>
      </x:c>
      <x:c r="AG51" s="1" t="n">
        <x:v>1</x:v>
      </x:c>
      <x:c r="AH51" s="10" t="n">
        <x:v>46278.625</x:v>
      </x:c>
      <x:c r="AI51" s="1" t="str">
        <x:v>Auxiliadora Predial</x:v>
      </x:c>
      <x:c r="AJ51" s="1" t="str">
        <x:v>Rua Tenente Silveira, Centro, Florianópolis</x:v>
      </x:c>
      <x:c r="AK51" s="86" t="str">
        <x:v>https://www.auxiliadorapredial.com.br/imovel/venda/637301/apartamento-centro-florianopolis-santa-catarina</x:v>
      </x:c>
      <x:c r="AL51" s="1" t="str">
        <x:v>Somente anúncio; confirmar com fonte e vistoria</x:v>
      </x:c>
      <x:c r="AM51" s="1" t="str">
        <x:v>Duas sacadas; elevador; zelador.</x:v>
      </x:c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</x:row>
    <x:row r="52">
      <x:c r="A52" s="1" t="str">
        <x:v>AUX-772119</x:v>
      </x:c>
      <x:c r="B52" s="83" t="n">
        <x:v>1</x:v>
      </x:c>
      <x:c r="C52" s="1"/>
      <x:c r="D52" s="7" t="n">
        <x:v>690000</x:v>
      </x:c>
      <x:c r="E52" s="85" t="n">
        <x:f>IF(B52=1,D52,"")</x:f>
        <x:v>690000</x:v>
      </x:c>
      <x:c r="F52" s="8" t="n">
        <x:v>80</x:v>
      </x:c>
      <x:c r="G52" s="8"/>
      <x:c r="H52" s="85" t="n">
        <x:f>IF(AND(ISNUMBER(E52),ISNUMBER(F52),F52&gt;0),E52/F52,"")</x:f>
        <x:v>8625</x:v>
      </x:c>
      <x:c r="I52" s="1" t="n">
        <x:v>2</x:v>
      </x:c>
      <x:c r="J52" s="1"/>
      <x:c r="K52" s="1" t="n">
        <x:v>2</x:v>
      </x:c>
      <x:c r="L52" s="1" t="n">
        <x:v>1</x:v>
      </x:c>
      <x:c r="M52" s="1" t="n">
        <x:v>1</x:v>
      </x:c>
      <x:c r="N52" s="1" t="n">
        <x:v>4</x:v>
      </x:c>
      <x:c r="O52" s="1"/>
      <x:c r="P52" s="1" t="n">
        <x:v>0</x:v>
      </x:c>
      <x:c r="Q52" s="1" t="n">
        <x:v>1</x:v>
      </x:c>
      <x:c r="R52" s="1" t="n">
        <x:v>1</x:v>
      </x:c>
      <x:c r="S52" s="1" t="n">
        <x:v>0</x:v>
      </x:c>
      <x:c r="T52" s="1" t="n">
        <x:v>0</x:v>
      </x:c>
      <x:c r="U52" s="1" t="n">
        <x:v>0</x:v>
      </x:c>
      <x:c r="V52" s="7" t="n">
        <x:v>0</x:v>
      </x:c>
      <x:c r="W52" s="7" t="n">
        <x:v>1461</x:v>
      </x:c>
      <x:c r="X52" s="1" t="n">
        <x:v>1</x:v>
      </x:c>
      <x:c r="Y52" s="1" t="n">
        <x:v>0</x:v>
      </x:c>
      <x:c r="Z52" s="1" t="n">
        <x:v>0</x:v>
      </x:c>
      <x:c r="AA52" s="1" t="n">
        <x:v>0</x:v>
      </x:c>
      <x:c r="AB52" s="1" t="n">
        <x:v>0</x:v>
      </x:c>
      <x:c r="AC52" s="84"/>
      <x:c r="AD52" s="84"/>
      <x:c r="AE52" s="84"/>
      <x:c r="AF52" s="1" t="n">
        <x:v>1</x:v>
      </x:c>
      <x:c r="AG52" s="1" t="n">
        <x:v>1</x:v>
      </x:c>
      <x:c r="AH52" s="10" t="n">
        <x:v>46278.625</x:v>
      </x:c>
      <x:c r="AI52" s="1" t="str">
        <x:v>Auxiliadora Predial</x:v>
      </x:c>
      <x:c r="AJ52" s="1" t="str">
        <x:v>Rua Araújo Figueiredo, Centro, Florianópolis</x:v>
      </x:c>
      <x:c r="AK52" s="86" t="str">
        <x:v>https://www.auxiliadorapredial.com.br/imovel/venda/772119/apartamento-sc%2Bflorianopolis%2Bcentro</x:v>
      </x:c>
      <x:c r="AL52" s="1" t="str">
        <x:v>Somente anúncio; confirmar com fonte e vistoria</x:v>
      </x:c>
      <x:c r="AM52" s="1" t="str">
        <x:v>Dependência de empregada; portaria 24 h. Condomínio informado como R$ 0 no anúncio.</x:v>
      </x:c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</x:row>
    <x:row r="53">
      <x:c r="A53" s="1" t="str">
        <x:v>AUX-414772</x:v>
      </x:c>
      <x:c r="B53" s="83" t="n">
        <x:v>1</x:v>
      </x:c>
      <x:c r="C53" s="1"/>
      <x:c r="D53" s="7" t="n">
        <x:v>2630000</x:v>
      </x:c>
      <x:c r="E53" s="85" t="n">
        <x:f>IF(B53=1,D53,"")</x:f>
        <x:v>2630000</x:v>
      </x:c>
      <x:c r="F53" s="8" t="n">
        <x:v>119</x:v>
      </x:c>
      <x:c r="G53" s="8"/>
      <x:c r="H53" s="85" t="n">
        <x:f>IF(AND(ISNUMBER(E53),ISNUMBER(F53),F53&gt;0),E53/F53,"")</x:f>
        <x:v>22100.840336134454</x:v>
      </x:c>
      <x:c r="I53" s="1" t="n">
        <x:v>3</x:v>
      </x:c>
      <x:c r="J53" s="1" t="n">
        <x:v>3</x:v>
      </x:c>
      <x:c r="K53" s="1" t="n">
        <x:v>5</x:v>
      </x:c>
      <x:c r="L53" s="1" t="n">
        <x:v>3</x:v>
      </x:c>
      <x:c r="M53" s="1" t="n">
        <x:v>1</x:v>
      </x:c>
      <x:c r="N53" s="1"/>
      <x:c r="O53" s="1"/>
      <x:c r="P53" s="1" t="n">
        <x:v>0</x:v>
      </x:c>
      <x:c r="Q53" s="1" t="n">
        <x:v>0</x:v>
      </x:c>
      <x:c r="R53" s="1" t="n">
        <x:v>0</x:v>
      </x:c>
      <x:c r="S53" s="1" t="n">
        <x:v>0</x:v>
      </x:c>
      <x:c r="T53" s="1" t="n">
        <x:v>0</x:v>
      </x:c>
      <x:c r="U53" s="1" t="n">
        <x:v>0</x:v>
      </x:c>
      <x:c r="V53" s="7" t="n">
        <x:v>1880</x:v>
      </x:c>
      <x:c r="W53" s="7" t="n">
        <x:v>4776</x:v>
      </x:c>
      <x:c r="X53" s="1" t="n">
        <x:v>0</x:v>
      </x:c>
      <x:c r="Y53" s="1" t="n">
        <x:v>0</x:v>
      </x:c>
      <x:c r="Z53" s="1" t="n">
        <x:v>0</x:v>
      </x:c>
      <x:c r="AA53" s="1" t="n">
        <x:v>0</x:v>
      </x:c>
      <x:c r="AB53" s="1" t="n">
        <x:v>0</x:v>
      </x:c>
      <x:c r="AC53" s="84"/>
      <x:c r="AD53" s="84"/>
      <x:c r="AE53" s="84"/>
      <x:c r="AF53" s="1" t="n">
        <x:v>1</x:v>
      </x:c>
      <x:c r="AG53" s="1" t="n">
        <x:v>1</x:v>
      </x:c>
      <x:c r="AH53" s="10" t="n">
        <x:v>46278.625</x:v>
      </x:c>
      <x:c r="AI53" s="1" t="str">
        <x:v>Auxiliadora Predial</x:v>
      </x:c>
      <x:c r="AJ53" s="1" t="str">
        <x:v>Avenida Trompowsky, Centro, Florianópolis</x:v>
      </x:c>
      <x:c r="AK53" s="86" t="str">
        <x:v>https://www.auxiliadorapredial.com.br/imovel/venda/414772/apartamento-sc%2Bflorianopolis%2Bcentro</x:v>
      </x:c>
      <x:c r="AL53" s="1" t="str">
        <x:v>Somente anúncio; confirmar com fonte e vistoria</x:v>
      </x:c>
      <x:c r="AM53" s="1" t="str">
        <x:v>1 suíte e 2 demi-suítes; segurança 24 h.</x:v>
      </x:c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</x:row>
    <x:row r="54">
      <x:c r="A54" s="1" t="str">
        <x:v>AUX-750337</x:v>
      </x:c>
      <x:c r="B54" s="83" t="n">
        <x:v>1</x:v>
      </x:c>
      <x:c r="C54" s="1"/>
      <x:c r="D54" s="7" t="n">
        <x:v>4300000</x:v>
      </x:c>
      <x:c r="E54" s="85" t="n">
        <x:f>IF(B54=1,D54,"")</x:f>
        <x:v>4300000</x:v>
      </x:c>
      <x:c r="F54" s="8" t="n">
        <x:v>138.92</x:v>
      </x:c>
      <x:c r="G54" s="8"/>
      <x:c r="H54" s="85" t="n">
        <x:f>IF(AND(ISNUMBER(E54),ISNUMBER(F54),F54&gt;0),E54/F54,"")</x:f>
        <x:v>30953.06651310107</x:v>
      </x:c>
      <x:c r="I54" s="1" t="n">
        <x:v>3</x:v>
      </x:c>
      <x:c r="J54" s="1" t="n">
        <x:v>3</x:v>
      </x:c>
      <x:c r="K54" s="1" t="n">
        <x:v>4</x:v>
      </x:c>
      <x:c r="L54" s="1" t="n">
        <x:v>2</x:v>
      </x:c>
      <x:c r="M54" s="1"/>
      <x:c r="N54" s="1"/>
      <x:c r="O54" s="1"/>
      <x:c r="P54" s="1" t="n">
        <x:v>0</x:v>
      </x:c>
      <x:c r="Q54" s="1" t="n">
        <x:v>1</x:v>
      </x:c>
      <x:c r="R54" s="1" t="n">
        <x:v>0</x:v>
      </x:c>
      <x:c r="S54" s="1" t="n">
        <x:v>1</x:v>
      </x:c>
      <x:c r="T54" s="1" t="n">
        <x:v>0</x:v>
      </x:c>
      <x:c r="U54" s="1" t="n">
        <x:v>1</x:v>
      </x:c>
      <x:c r="V54" s="7" t="n">
        <x:v>1883</x:v>
      </x:c>
      <x:c r="W54" s="7" t="n">
        <x:v>6595</x:v>
      </x:c>
      <x:c r="X54" s="1" t="n">
        <x:v>0</x:v>
      </x:c>
      <x:c r="Y54" s="1" t="n">
        <x:v>0</x:v>
      </x:c>
      <x:c r="Z54" s="1" t="n">
        <x:v>1</x:v>
      </x:c>
      <x:c r="AA54" s="1" t="n">
        <x:v>1</x:v>
      </x:c>
      <x:c r="AB54" s="1" t="n">
        <x:v>0</x:v>
      </x:c>
      <x:c r="AC54" s="84"/>
      <x:c r="AD54" s="84"/>
      <x:c r="AE54" s="84"/>
      <x:c r="AF54" s="1" t="n">
        <x:v>1</x:v>
      </x:c>
      <x:c r="AG54" s="1" t="n">
        <x:v>1</x:v>
      </x:c>
      <x:c r="AH54" s="10" t="n">
        <x:v>46278.625</x:v>
      </x:c>
      <x:c r="AI54" s="1" t="str">
        <x:v>Auxiliadora Predial</x:v>
      </x:c>
      <x:c r="AJ54" s="1" t="str">
        <x:v>Rua Desembargador Arno Hoeschl, Centro, Florianópolis</x:v>
      </x:c>
      <x:c r="AK54" s="86" t="str">
        <x:v>https://www.auxiliadorapredial.com.br/imovel/venda/750337/apartamento-sc%2Bflorianopolis%2Bcentro</x:v>
      </x:c>
      <x:c r="AL54" s="1" t="str">
        <x:v>Somente anúncio; confirmar com fonte e vistoria</x:v>
      </x:c>
      <x:c r="AM54" s="1" t="str">
        <x:v>1 suíte e 2 demi-suítes; sacada com churrasqueira; vista mar.</x:v>
      </x:c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</x:row>
    <x:row r="55">
      <x:c r="A55" s="1" t="str">
        <x:v>AUX-761322</x:v>
      </x:c>
      <x:c r="B55" s="83" t="n">
        <x:v>1</x:v>
      </x:c>
      <x:c r="C55" s="1"/>
      <x:c r="D55" s="7" t="n">
        <x:v>895000</x:v>
      </x:c>
      <x:c r="E55" s="85" t="n">
        <x:f>IF(B55=1,D55,"")</x:f>
        <x:v>895000</x:v>
      </x:c>
      <x:c r="F55" s="8" t="n">
        <x:v>93.69</x:v>
      </x:c>
      <x:c r="G55" s="8"/>
      <x:c r="H55" s="85" t="n">
        <x:f>IF(AND(ISNUMBER(E55),ISNUMBER(F55),F55&gt;0),E55/F55,"")</x:f>
        <x:v>9552.780446152205</x:v>
      </x:c>
      <x:c r="I55" s="1" t="n">
        <x:v>3</x:v>
      </x:c>
      <x:c r="J55" s="1" t="n">
        <x:v>1</x:v>
      </x:c>
      <x:c r="K55" s="1" t="n">
        <x:v>3</x:v>
      </x:c>
      <x:c r="L55" s="1" t="n">
        <x:v>1</x:v>
      </x:c>
      <x:c r="M55" s="1" t="n">
        <x:v>1</x:v>
      </x:c>
      <x:c r="N55" s="1"/>
      <x:c r="O55" s="1" t="n">
        <x:v>1</x:v>
      </x:c>
      <x:c r="P55" s="1" t="n">
        <x:v>0</x:v>
      </x:c>
      <x:c r="Q55" s="1" t="n">
        <x:v>0</x:v>
      </x:c>
      <x:c r="R55" s="1" t="n">
        <x:v>0</x:v>
      </x:c>
      <x:c r="S55" s="1" t="n">
        <x:v>0</x:v>
      </x:c>
      <x:c r="T55" s="1" t="n">
        <x:v>0</x:v>
      </x:c>
      <x:c r="U55" s="1" t="n">
        <x:v>0</x:v>
      </x:c>
      <x:c r="V55" s="7" t="n">
        <x:v>1100</x:v>
      </x:c>
      <x:c r="W55" s="7" t="n">
        <x:v>2795</x:v>
      </x:c>
      <x:c r="X55" s="1" t="n">
        <x:v>1</x:v>
      </x:c>
      <x:c r="Y55" s="1" t="n">
        <x:v>0</x:v>
      </x:c>
      <x:c r="Z55" s="1" t="n">
        <x:v>0</x:v>
      </x:c>
      <x:c r="AA55" s="1" t="n">
        <x:v>0</x:v>
      </x:c>
      <x:c r="AB55" s="1" t="n">
        <x:v>1</x:v>
      </x:c>
      <x:c r="AC55" s="84"/>
      <x:c r="AD55" s="84"/>
      <x:c r="AE55" s="84"/>
      <x:c r="AF55" s="1" t="n">
        <x:v>1</x:v>
      </x:c>
      <x:c r="AG55" s="1" t="n">
        <x:v>1</x:v>
      </x:c>
      <x:c r="AH55" s="10" t="n">
        <x:v>46278.625</x:v>
      </x:c>
      <x:c r="AI55" s="1" t="str">
        <x:v>Auxiliadora Predial</x:v>
      </x:c>
      <x:c r="AJ55" s="1" t="str">
        <x:v>Avenida Hercílio Luz, Centro, Florianópolis</x:v>
      </x:c>
      <x:c r="AK55" s="86" t="str">
        <x:v>https://www.auxiliadorapredial.com.br/imovel/venda/761322/apartamento-sc%2Bflorianopolis%2Bcentro</x:v>
      </x:c>
      <x:c r="AL55" s="1" t="str">
        <x:v>Somente anúncio; confirmar com fonte e vistoria</x:v>
      </x:c>
      <x:c r="AM55" s="1" t="str">
        <x:v>Vista livre; vaga livre e coberta; portaria 24 h.</x:v>
      </x:c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</x:row>
    <x:row r="56">
      <x:c r="A56" s="1" t="str">
        <x:v>AUX-689273</x:v>
      </x:c>
      <x:c r="B56" s="83" t="n">
        <x:v>1</x:v>
      </x:c>
      <x:c r="C56" s="1"/>
      <x:c r="D56" s="7" t="n">
        <x:v>3850000</x:v>
      </x:c>
      <x:c r="E56" s="85" t="n">
        <x:f>IF(B56=1,D56,"")</x:f>
        <x:v>3850000</x:v>
      </x:c>
      <x:c r="F56" s="8" t="n">
        <x:v>131</x:v>
      </x:c>
      <x:c r="G56" s="8"/>
      <x:c r="H56" s="85" t="n">
        <x:f>IF(AND(ISNUMBER(E56),ISNUMBER(F56),F56&gt;0),E56/F56,"")</x:f>
        <x:v>29389.31297709924</x:v>
      </x:c>
      <x:c r="I56" s="1" t="n">
        <x:v>3</x:v>
      </x:c>
      <x:c r="J56" s="1" t="n">
        <x:v>3</x:v>
      </x:c>
      <x:c r="K56" s="1" t="n">
        <x:v>5</x:v>
      </x:c>
      <x:c r="L56" s="1" t="n">
        <x:v>2</x:v>
      </x:c>
      <x:c r="M56" s="1" t="n">
        <x:v>1</x:v>
      </x:c>
      <x:c r="N56" s="1"/>
      <x:c r="O56" s="1"/>
      <x:c r="P56" s="1" t="n">
        <x:v>0</x:v>
      </x:c>
      <x:c r="Q56" s="1" t="n">
        <x:v>1</x:v>
      </x:c>
      <x:c r="R56" s="1" t="n">
        <x:v>0</x:v>
      </x:c>
      <x:c r="S56" s="1" t="n">
        <x:v>1</x:v>
      </x:c>
      <x:c r="T56" s="1" t="n">
        <x:v>0</x:v>
      </x:c>
      <x:c r="U56" s="1" t="n">
        <x:v>0</x:v>
      </x:c>
      <x:c r="V56" s="7" t="n">
        <x:v>2962</x:v>
      </x:c>
      <x:c r="W56" s="7" t="n">
        <x:v>4514</x:v>
      </x:c>
      <x:c r="X56" s="1" t="n">
        <x:v>0</x:v>
      </x:c>
      <x:c r="Y56" s="1" t="n">
        <x:v>0</x:v>
      </x:c>
      <x:c r="Z56" s="1" t="n">
        <x:v>0</x:v>
      </x:c>
      <x:c r="AA56" s="1" t="n">
        <x:v>0</x:v>
      </x:c>
      <x:c r="AB56" s="1" t="n">
        <x:v>0</x:v>
      </x:c>
      <x:c r="AC56" s="84"/>
      <x:c r="AD56" s="84"/>
      <x:c r="AE56" s="84"/>
      <x:c r="AF56" s="1" t="n">
        <x:v>1</x:v>
      </x:c>
      <x:c r="AG56" s="1" t="n">
        <x:v>1</x:v>
      </x:c>
      <x:c r="AH56" s="10" t="n">
        <x:v>46278.625</x:v>
      </x:c>
      <x:c r="AI56" s="1" t="str">
        <x:v>Auxiliadora Predial</x:v>
      </x:c>
      <x:c r="AJ56" s="1" t="str">
        <x:v>Rua Comandante Constantino Nicolau Spyrides, Centro, Florianópolis</x:v>
      </x:c>
      <x:c r="AK56" s="86" t="str">
        <x:v>https://www.auxiliadorapredial.com.br/imovel/venda/689273/apartamento-sc%2Bflorianopolis%2Bcentro</x:v>
      </x:c>
      <x:c r="AL56" s="1" t="str">
        <x:v>Somente anúncio; confirmar com fonte e vistoria</x:v>
      </x:c>
      <x:c r="AM56" s="1" t="str">
        <x:v>Três suítes; vista panorâmica para o mar; vaga com ponto para carro elétrico.</x:v>
      </x:c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</x:row>
    <x:row r="57">
      <x:c r="A57" s="1" t="str">
        <x:v>AUX-743708</x:v>
      </x:c>
      <x:c r="B57" s="83" t="n">
        <x:v>1</x:v>
      </x:c>
      <x:c r="C57" s="1"/>
      <x:c r="D57" s="7" t="n">
        <x:v>730000</x:v>
      </x:c>
      <x:c r="E57" s="85" t="n">
        <x:f>IF(B57=1,D57,"")</x:f>
        <x:v>730000</x:v>
      </x:c>
      <x:c r="F57" s="8" t="n">
        <x:v>113</x:v>
      </x:c>
      <x:c r="G57" s="8"/>
      <x:c r="H57" s="85" t="n">
        <x:f>IF(AND(ISNUMBER(E57),ISNUMBER(F57),F57&gt;0),E57/F57,"")</x:f>
        <x:v>6460.1769911504425</x:v>
      </x:c>
      <x:c r="I57" s="1" t="n">
        <x:v>3</x:v>
      </x:c>
      <x:c r="J57" s="1"/>
      <x:c r="K57" s="1" t="n">
        <x:v>1</x:v>
      </x:c>
      <x:c r="L57" s="1"/>
      <x:c r="M57" s="1" t="n">
        <x:v>1</x:v>
      </x:c>
      <x:c r="N57" s="1"/>
      <x:c r="O57" s="1"/>
      <x:c r="P57" s="1" t="n">
        <x:v>0</x:v>
      </x:c>
      <x:c r="Q57" s="1" t="n">
        <x:v>0</x:v>
      </x:c>
      <x:c r="R57" s="1" t="n">
        <x:v>0</x:v>
      </x:c>
      <x:c r="S57" s="1" t="n">
        <x:v>0</x:v>
      </x:c>
      <x:c r="T57" s="1" t="n">
        <x:v>0</x:v>
      </x:c>
      <x:c r="U57" s="1" t="n">
        <x:v>0</x:v>
      </x:c>
      <x:c r="V57" s="7" t="n">
        <x:v>1300</x:v>
      </x:c>
      <x:c r="W57" s="7" t="n">
        <x:v>210</x:v>
      </x:c>
      <x:c r="X57" s="1" t="n">
        <x:v>1</x:v>
      </x:c>
      <x:c r="Y57" s="1" t="n">
        <x:v>0</x:v>
      </x:c>
      <x:c r="Z57" s="1" t="n">
        <x:v>0</x:v>
      </x:c>
      <x:c r="AA57" s="1" t="n">
        <x:v>0</x:v>
      </x:c>
      <x:c r="AB57" s="1" t="n">
        <x:v>0</x:v>
      </x:c>
      <x:c r="AC57" s="84"/>
      <x:c r="AD57" s="84"/>
      <x:c r="AE57" s="84"/>
      <x:c r="AF57" s="1" t="n">
        <x:v>1</x:v>
      </x:c>
      <x:c r="AG57" s="1" t="n">
        <x:v>1</x:v>
      </x:c>
      <x:c r="AH57" s="10" t="n">
        <x:v>46278.625</x:v>
      </x:c>
      <x:c r="AI57" s="1" t="str">
        <x:v>Auxiliadora Predial</x:v>
      </x:c>
      <x:c r="AJ57" s="1" t="str">
        <x:v>Avenida Hercílio Luz, Centro, Florianópolis</x:v>
      </x:c>
      <x:c r="AK57" s="86" t="str">
        <x:v>https://www.auxiliadorapredial.com.br/imovel/venda/743708/apartamento-sc%2Bflorianopolis%2Bcentro</x:v>
      </x:c>
      <x:c r="AL57" s="1" t="str">
        <x:v>Somente anúncio; confirmar com fonte e vistoria</x:v>
      </x:c>
      <x:c r="AM57" s="1" t="str">
        <x:v>Sol da tarde; dois elevadores; portaria 24 h.</x:v>
      </x:c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</x:row>
    <x:row r="58">
      <x:c r="A58" s="1" t="str">
        <x:v>AUX-776036</x:v>
      </x:c>
      <x:c r="B58" s="83" t="n">
        <x:v>1</x:v>
      </x:c>
      <x:c r="C58" s="1"/>
      <x:c r="D58" s="7" t="n">
        <x:v>599000</x:v>
      </x:c>
      <x:c r="E58" s="85" t="n">
        <x:f>IF(B58=1,D58,"")</x:f>
        <x:v>599000</x:v>
      </x:c>
      <x:c r="F58" s="8" t="n">
        <x:v>64</x:v>
      </x:c>
      <x:c r="G58" s="8"/>
      <x:c r="H58" s="85" t="n">
        <x:f>IF(AND(ISNUMBER(E58),ISNUMBER(F58),F58&gt;0),E58/F58,"")</x:f>
        <x:v>9359.375</x:v>
      </x:c>
      <x:c r="I58" s="1" t="n">
        <x:v>3</x:v>
      </x:c>
      <x:c r="J58" s="1"/>
      <x:c r="K58" s="1" t="n">
        <x:v>1</x:v>
      </x:c>
      <x:c r="L58" s="1" t="n">
        <x:v>1</x:v>
      </x:c>
      <x:c r="M58" s="1" t="n">
        <x:v>0</x:v>
      </x:c>
      <x:c r="N58" s="1" t="n">
        <x:v>4</x:v>
      </x:c>
      <x:c r="O58" s="1"/>
      <x:c r="P58" s="1" t="n">
        <x:v>0</x:v>
      </x:c>
      <x:c r="Q58" s="1" t="n">
        <x:v>1</x:v>
      </x:c>
      <x:c r="R58" s="1" t="n">
        <x:v>0</x:v>
      </x:c>
      <x:c r="S58" s="1" t="n">
        <x:v>0</x:v>
      </x:c>
      <x:c r="T58" s="1" t="n">
        <x:v>0</x:v>
      </x:c>
      <x:c r="U58" s="1" t="n">
        <x:v>0</x:v>
      </x:c>
      <x:c r="V58" s="7" t="n">
        <x:v>1215</x:v>
      </x:c>
      <x:c r="W58" s="7" t="n">
        <x:v>100</x:v>
      </x:c>
      <x:c r="X58" s="1" t="n">
        <x:v>0</x:v>
      </x:c>
      <x:c r="Y58" s="1" t="n">
        <x:v>0</x:v>
      </x:c>
      <x:c r="Z58" s="1" t="n">
        <x:v>0</x:v>
      </x:c>
      <x:c r="AA58" s="1" t="n">
        <x:v>0</x:v>
      </x:c>
      <x:c r="AB58" s="1" t="n">
        <x:v>0</x:v>
      </x:c>
      <x:c r="AC58" s="84"/>
      <x:c r="AD58" s="84"/>
      <x:c r="AE58" s="84"/>
      <x:c r="AF58" s="1" t="n">
        <x:v>1</x:v>
      </x:c>
      <x:c r="AG58" s="1" t="n">
        <x:v>1</x:v>
      </x:c>
      <x:c r="AH58" s="10" t="n">
        <x:v>46278.625</x:v>
      </x:c>
      <x:c r="AI58" s="1" t="str">
        <x:v>Auxiliadora Predial</x:v>
      </x:c>
      <x:c r="AJ58" s="1" t="str">
        <x:v>Avenida Mauro Ramos, Centro, Florianópolis</x:v>
      </x:c>
      <x:c r="AK58" s="86" t="str">
        <x:v>https://www.auxiliadorapredial.com.br/imovel/venda/776036/apartamento-sc%2Bflorianopolis%2Bcentro</x:v>
      </x:c>
      <x:c r="AL58" s="1" t="str">
        <x:v>Somente anúncio; confirmar com fonte e vistoria</x:v>
      </x:c>
      <x:c r="AM58" s="1" t="str">
        <x:v>Edifício com escada; vaga de estacionamento rotativo anunciada.</x:v>
      </x:c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</x:row>
    <x:row r="59">
      <x:c r="A59" s="1" t="str">
        <x:v>BRO-55458</x:v>
      </x:c>
      <x:c r="B59" s="83" t="n">
        <x:v>0</x:v>
      </x:c>
      <x:c r="C59" s="1" t="str">
        <x:v>possível mesma unidade do avaliando</x:v>
      </x:c>
      <x:c r="D59" s="7" t="n">
        <x:v>855000</x:v>
      </x:c>
      <x:c r="E59" s="85" t="str">
        <x:f>IF(B59=1,D59,"")</x:f>
      </x:c>
      <x:c r="F59" s="8" t="n">
        <x:v>99</x:v>
      </x:c>
      <x:c r="G59" s="8"/>
      <x:c r="H59" s="85" t="str">
        <x:f>IF(AND(ISNUMBER(E59),ISNUMBER(F59),F59&gt;0),E59/F59,"")</x:f>
      </x:c>
      <x:c r="I59" s="1" t="n">
        <x:v>3</x:v>
      </x:c>
      <x:c r="J59" s="1"/>
      <x:c r="K59" s="1" t="n">
        <x:v>3</x:v>
      </x:c>
      <x:c r="L59" s="1"/>
      <x:c r="M59" s="1" t="n">
        <x:v>1</x:v>
      </x:c>
      <x:c r="N59" s="1"/>
      <x:c r="O59" s="1"/>
      <x:c r="P59" s="1" t="n">
        <x:v>0</x:v>
      </x:c>
      <x:c r="Q59" s="1" t="n">
        <x:v>1</x:v>
      </x:c>
      <x:c r="R59" s="1" t="n">
        <x:v>0</x:v>
      </x:c>
      <x:c r="S59" s="1" t="n">
        <x:v>0</x:v>
      </x:c>
      <x:c r="T59" s="1" t="n">
        <x:v>0</x:v>
      </x:c>
      <x:c r="U59" s="1" t="n">
        <x:v>0</x:v>
      </x:c>
      <x:c r="V59" s="7" t="n">
        <x:v>1072</x:v>
      </x:c>
      <x:c r="W59" s="7" t="n">
        <x:v>2124</x:v>
      </x:c>
      <x:c r="X59" s="1" t="n">
        <x:v>0</x:v>
      </x:c>
      <x:c r="Y59" s="1" t="n">
        <x:v>0</x:v>
      </x:c>
      <x:c r="Z59" s="1" t="n">
        <x:v>0</x:v>
      </x:c>
      <x:c r="AA59" s="1" t="n">
        <x:v>0</x:v>
      </x:c>
      <x:c r="AB59" s="1" t="n">
        <x:v>0</x:v>
      </x:c>
      <x:c r="AC59" s="84"/>
      <x:c r="AD59" s="84"/>
      <x:c r="AE59" s="84"/>
      <x:c r="AF59" s="1" t="n">
        <x:v>1</x:v>
      </x:c>
      <x:c r="AG59" s="1" t="n">
        <x:v>2</x:v>
      </x:c>
      <x:c r="AH59" s="10" t="n">
        <x:v>46278.625</x:v>
      </x:c>
      <x:c r="AI59" s="1" t="str">
        <x:v>Brognoli Imóveis</x:v>
      </x:c>
      <x:c r="AJ59" s="1" t="str">
        <x:v>Rua Vidal Ramos, Centro, Florianópolis</x:v>
      </x:c>
      <x:c r="AK59" s="86" t="str">
        <x:v>https://www.brognoli.com.br/imovel/comprar-apartamentos-com-99m-3-quartos-no-bairro-centro-em-florianopolis_A11-55458/</x:v>
      </x:c>
      <x:c r="AL59" s="1" t="str">
        <x:v>Somente anúncio; confirmar com fonte e vistoria</x:v>
      </x:c>
      <x:c r="AM59" s="1" t="str">
        <x:v>IPTU anunciado como R$177, sem periodicidade explícita, anualizado como 12 meses para coluna numérica.</x:v>
      </x:c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</x:row>
    <x:row r="60">
      <x:c r="A60" s="1" t="str">
        <x:v>BRO-58236</x:v>
      </x:c>
      <x:c r="B60" s="83" t="n">
        <x:v>1</x:v>
      </x:c>
      <x:c r="C60" s="1"/>
      <x:c r="D60" s="7" t="n">
        <x:v>1490000</x:v>
      </x:c>
      <x:c r="E60" s="85" t="n">
        <x:f>IF(B60=1,D60,"")</x:f>
        <x:v>1490000</x:v>
      </x:c>
      <x:c r="F60" s="8" t="n">
        <x:v>78</x:v>
      </x:c>
      <x:c r="G60" s="8"/>
      <x:c r="H60" s="85" t="n">
        <x:f>IF(AND(ISNUMBER(E60),ISNUMBER(F60),F60&gt;0),E60/F60,"")</x:f>
        <x:v>19102.5641025641</x:v>
      </x:c>
      <x:c r="I60" s="1" t="n">
        <x:v>3</x:v>
      </x:c>
      <x:c r="J60" s="1" t="n">
        <x:v>1</x:v>
      </x:c>
      <x:c r="K60" s="1" t="n">
        <x:v>2</x:v>
      </x:c>
      <x:c r="L60" s="1" t="n">
        <x:v>1</x:v>
      </x:c>
      <x:c r="M60" s="1" t="n">
        <x:v>1</x:v>
      </x:c>
      <x:c r="N60" s="1"/>
      <x:c r="O60" s="1" t="n">
        <x:v>1</x:v>
      </x:c>
      <x:c r="P60" s="1" t="n">
        <x:v>0</x:v>
      </x:c>
      <x:c r="Q60" s="1" t="n">
        <x:v>1</x:v>
      </x:c>
      <x:c r="R60" s="1" t="n">
        <x:v>0</x:v>
      </x:c>
      <x:c r="S60" s="1" t="n">
        <x:v>0</x:v>
      </x:c>
      <x:c r="T60" s="1" t="n">
        <x:v>0</x:v>
      </x:c>
      <x:c r="U60" s="1" t="n">
        <x:v>0</x:v>
      </x:c>
      <x:c r="V60" s="7" t="n">
        <x:v>764</x:v>
      </x:c>
      <x:c r="W60" s="7" t="n">
        <x:v>1365</x:v>
      </x:c>
      <x:c r="X60" s="1" t="n">
        <x:v>0</x:v>
      </x:c>
      <x:c r="Y60" s="1" t="n">
        <x:v>0</x:v>
      </x:c>
      <x:c r="Z60" s="1" t="n">
        <x:v>0</x:v>
      </x:c>
      <x:c r="AA60" s="1" t="n">
        <x:v>0</x:v>
      </x:c>
      <x:c r="AB60" s="1" t="n">
        <x:v>0</x:v>
      </x:c>
      <x:c r="AC60" s="84"/>
      <x:c r="AD60" s="84"/>
      <x:c r="AE60" s="84"/>
      <x:c r="AF60" s="1" t="n">
        <x:v>1</x:v>
      </x:c>
      <x:c r="AG60" s="1" t="n">
        <x:v>2</x:v>
      </x:c>
      <x:c r="AH60" s="10" t="n">
        <x:v>46278.625</x:v>
      </x:c>
      <x:c r="AI60" s="1" t="str">
        <x:v>Brognoli Imóveis</x:v>
      </x:c>
      <x:c r="AJ60" s="1" t="str">
        <x:v>Rua Hermann Blumenau, Centro, Florianópolis</x:v>
      </x:c>
      <x:c r="AK60" s="86" t="str">
        <x:v>https://www.brognoli.com.br/imovel/comprar-apartamentos-com-78m-3-quartos-no-bairro-centro-em-florianopolis_A32-58236/</x:v>
      </x:c>
      <x:c r="AL60" s="1" t="str">
        <x:v>Somente anúncio; confirmar com fonte e vistoria</x:v>
      </x:c>
      <x:c r="AM60" s="1" t="str">
        <x:v>Hobby box; 3 apartamentos por andar. IPTU sem periodicidade explícita no anúncio.</x:v>
      </x:c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</x:row>
    <x:row r="61">
      <x:c r="A61" s="1" t="str">
        <x:v>BRO-55121</x:v>
      </x:c>
      <x:c r="B61" s="83" t="n">
        <x:v>1</x:v>
      </x:c>
      <x:c r="C61" s="1"/>
      <x:c r="D61" s="7" t="n">
        <x:v>1600000</x:v>
      </x:c>
      <x:c r="E61" s="85" t="n">
        <x:f>IF(B61=1,D61,"")</x:f>
        <x:v>1600000</x:v>
      </x:c>
      <x:c r="F61" s="8" t="n">
        <x:v>120</x:v>
      </x:c>
      <x:c r="G61" s="8"/>
      <x:c r="H61" s="85" t="n">
        <x:f>IF(AND(ISNUMBER(E61),ISNUMBER(F61),F61&gt;0),E61/F61,"")</x:f>
        <x:v>13333.333333333334</x:v>
      </x:c>
      <x:c r="I61" s="1" t="n">
        <x:v>3</x:v>
      </x:c>
      <x:c r="J61" s="1" t="n">
        <x:v>1</x:v>
      </x:c>
      <x:c r="K61" s="1" t="n">
        <x:v>4</x:v>
      </x:c>
      <x:c r="L61" s="1" t="n">
        <x:v>2</x:v>
      </x:c>
      <x:c r="M61" s="1" t="n">
        <x:v>1</x:v>
      </x:c>
      <x:c r="N61" s="1"/>
      <x:c r="O61" s="1" t="n">
        <x:v>1</x:v>
      </x:c>
      <x:c r="P61" s="1" t="n">
        <x:v>0</x:v>
      </x:c>
      <x:c r="Q61" s="1" t="n">
        <x:v>1</x:v>
      </x:c>
      <x:c r="R61" s="1" t="n">
        <x:v>0</x:v>
      </x:c>
      <x:c r="S61" s="1" t="n">
        <x:v>0</x:v>
      </x:c>
      <x:c r="T61" s="1" t="n">
        <x:v>0</x:v>
      </x:c>
      <x:c r="U61" s="1" t="n">
        <x:v>0</x:v>
      </x:c>
      <x:c r="V61" s="7" t="n">
        <x:v>1504</x:v>
      </x:c>
      <x:c r="W61" s="7" t="n">
        <x:v>1543</x:v>
      </x:c>
      <x:c r="X61" s="1" t="n">
        <x:v>0</x:v>
      </x:c>
      <x:c r="Y61" s="1" t="n">
        <x:v>1</x:v>
      </x:c>
      <x:c r="Z61" s="1" t="n">
        <x:v>0</x:v>
      </x:c>
      <x:c r="AA61" s="1" t="n">
        <x:v>0</x:v>
      </x:c>
      <x:c r="AB61" s="1" t="n">
        <x:v>0</x:v>
      </x:c>
      <x:c r="AC61" s="84"/>
      <x:c r="AD61" s="84"/>
      <x:c r="AE61" s="84"/>
      <x:c r="AF61" s="1" t="n">
        <x:v>1</x:v>
      </x:c>
      <x:c r="AG61" s="1" t="n">
        <x:v>2</x:v>
      </x:c>
      <x:c r="AH61" s="10" t="n">
        <x:v>46278.625</x:v>
      </x:c>
      <x:c r="AI61" s="1" t="str">
        <x:v>Brognoli Imóveis</x:v>
      </x:c>
      <x:c r="AJ61" s="1" t="str">
        <x:v>Avenida Hercílio Luz, Centro, Florianópolis</x:v>
      </x:c>
      <x:c r="AK61" s="86" t="str">
        <x:v>https://www.brognoli.com.br/imovel/comprar-apartamentos-com-120m-3-quartos-no-bairro-centro-em-florianopolis_A50-55121/</x:v>
      </x:c>
      <x:c r="AL61" s="1" t="str">
        <x:v>Somente anúncio; confirmar com fonte e vistoria</x:v>
      </x:c>
      <x:c r="AM61" s="1" t="str">
        <x:v>Vista panorâmica; dois elevadores; piscina. IPTU sem periodicidade explícita no anúncio.</x:v>
      </x:c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</x:row>
    <x:row r="62">
      <x:c r="A62" s="1" t="str">
        <x:v>CNM-43086592</x:v>
      </x:c>
      <x:c r="B62" s="83" t="n">
        <x:v>1</x:v>
      </x:c>
      <x:c r="C62" s="1"/>
      <x:c r="D62" s="7" t="n">
        <x:v>1185000</x:v>
      </x:c>
      <x:c r="E62" s="85" t="n">
        <x:f>IF(B62=1,D62,"")</x:f>
        <x:v>1185000</x:v>
      </x:c>
      <x:c r="F62" s="8" t="n">
        <x:v>69</x:v>
      </x:c>
      <x:c r="G62" s="8"/>
      <x:c r="H62" s="85" t="n">
        <x:f>IF(AND(ISNUMBER(E62),ISNUMBER(F62),F62&gt;0),E62/F62,"")</x:f>
        <x:v>17173.91304347826</x:v>
      </x:c>
      <x:c r="I62" s="1" t="n">
        <x:v>2</x:v>
      </x:c>
      <x:c r="J62" s="1"/>
      <x:c r="K62" s="1" t="n">
        <x:v>1</x:v>
      </x:c>
      <x:c r="L62" s="1" t="n">
        <x:v>1</x:v>
      </x:c>
      <x:c r="M62" s="1"/>
      <x:c r="N62" s="1"/>
      <x:c r="O62" s="1"/>
      <x:c r="P62" s="1" t="n">
        <x:v>0</x:v>
      </x:c>
      <x:c r="Q62" s="1" t="n">
        <x:v>0</x:v>
      </x:c>
      <x:c r="R62" s="1" t="n">
        <x:v>0</x:v>
      </x:c>
      <x:c r="S62" s="1" t="n">
        <x:v>0</x:v>
      </x:c>
      <x:c r="T62" s="1" t="n">
        <x:v>0</x:v>
      </x:c>
      <x:c r="U62" s="1" t="n">
        <x:v>0</x:v>
      </x:c>
      <x:c r="V62" s="7"/>
      <x:c r="W62" s="7"/>
      <x:c r="X62" s="1" t="n">
        <x:v>0</x:v>
      </x:c>
      <x:c r="Y62" s="1" t="n">
        <x:v>0</x:v>
      </x:c>
      <x:c r="Z62" s="1" t="n">
        <x:v>0</x:v>
      </x:c>
      <x:c r="AA62" s="1" t="n">
        <x:v>0</x:v>
      </x:c>
      <x:c r="AB62" s="1" t="n">
        <x:v>0</x:v>
      </x:c>
      <x:c r="AC62" s="84"/>
      <x:c r="AD62" s="84"/>
      <x:c r="AE62" s="84"/>
      <x:c r="AF62" s="1" t="n">
        <x:v>1</x:v>
      </x:c>
      <x:c r="AG62" s="1" t="n">
        <x:v>3</x:v>
      </x:c>
      <x:c r="AH62" s="10" t="n">
        <x:v>46278.625</x:v>
      </x:c>
      <x:c r="AI62" s="1" t="str">
        <x:v>Chaves na Mão</x:v>
      </x:c>
      <x:c r="AJ62" s="1" t="str">
        <x:v>Rua Felipe Schmidt, 1011</x:v>
      </x:c>
      <x:c r="AK62" s="86" t="str">
        <x:v>https://www.chavesnamao.com.br/imovel/apartamento-a-venda-2-quartos-com-garagem-sc-florianopolis-centro-89m2-RS1185000/id-43086592/</x:v>
      </x:c>
      <x:c r="AL62" s="1" t="str">
        <x:v>Somente anúncio; confirmar com fonte e vistoria</x:v>
      </x:c>
      <x:c r="AM62" s="1" t="str">
        <x:v>Anúncio ativo no portal; área útil 69 m², total 89 m².</x:v>
      </x:c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</x:row>
    <x:row r="63">
      <x:c r="A63" s="1" t="str">
        <x:v>CNM-43748129</x:v>
      </x:c>
      <x:c r="B63" s="83" t="n">
        <x:v>1</x:v>
      </x:c>
      <x:c r="C63" s="1"/>
      <x:c r="D63" s="7" t="n">
        <x:v>936000</x:v>
      </x:c>
      <x:c r="E63" s="85" t="n">
        <x:f>IF(B63=1,D63,"")</x:f>
        <x:v>936000</x:v>
      </x:c>
      <x:c r="F63" s="8" t="n">
        <x:v>104</x:v>
      </x:c>
      <x:c r="G63" s="8"/>
      <x:c r="H63" s="85" t="n">
        <x:f>IF(AND(ISNUMBER(E63),ISNUMBER(F63),F63&gt;0),E63/F63,"")</x:f>
        <x:v>9000</x:v>
      </x:c>
      <x:c r="I63" s="1" t="n">
        <x:v>3</x:v>
      </x:c>
      <x:c r="J63" s="1"/>
      <x:c r="K63" s="1" t="n">
        <x:v>2</x:v>
      </x:c>
      <x:c r="L63" s="1" t="n">
        <x:v>1</x:v>
      </x:c>
      <x:c r="M63" s="1"/>
      <x:c r="N63" s="1"/>
      <x:c r="O63" s="1"/>
      <x:c r="P63" s="1" t="n">
        <x:v>0</x:v>
      </x:c>
      <x:c r="Q63" s="1" t="n">
        <x:v>0</x:v>
      </x:c>
      <x:c r="R63" s="1" t="n">
        <x:v>0</x:v>
      </x:c>
      <x:c r="S63" s="1" t="n">
        <x:v>0</x:v>
      </x:c>
      <x:c r="T63" s="1" t="n">
        <x:v>0</x:v>
      </x:c>
      <x:c r="U63" s="1" t="n">
        <x:v>0</x:v>
      </x:c>
      <x:c r="V63" s="7" t="n">
        <x:v>800</x:v>
      </x:c>
      <x:c r="W63" s="7"/>
      <x:c r="X63" s="1" t="n">
        <x:v>0</x:v>
      </x:c>
      <x:c r="Y63" s="1" t="n">
        <x:v>0</x:v>
      </x:c>
      <x:c r="Z63" s="1" t="n">
        <x:v>0</x:v>
      </x:c>
      <x:c r="AA63" s="1" t="n">
        <x:v>0</x:v>
      </x:c>
      <x:c r="AB63" s="1" t="n">
        <x:v>0</x:v>
      </x:c>
      <x:c r="AC63" s="84"/>
      <x:c r="AD63" s="84"/>
      <x:c r="AE63" s="84"/>
      <x:c r="AF63" s="1" t="n">
        <x:v>1</x:v>
      </x:c>
      <x:c r="AG63" s="1" t="n">
        <x:v>3</x:v>
      </x:c>
      <x:c r="AH63" s="10" t="n">
        <x:v>46278.625</x:v>
      </x:c>
      <x:c r="AI63" s="1" t="str">
        <x:v>Chaves na Mão</x:v>
      </x:c>
      <x:c r="AJ63" s="1" t="str">
        <x:v>Avenida Mauro Ramos</x:v>
      </x:c>
      <x:c r="AK63" s="86" t="str">
        <x:v>https://www.chavesnamao.com.br/imovel/apartamento-a-venda-3-quartos-com-garagem-sc-florianopolis-centro-146m2-RS936000/id-43748129/</x:v>
      </x:c>
      <x:c r="AL63" s="1" t="str">
        <x:v>Somente anúncio; confirmar com fonte e vistoria</x:v>
      </x:c>
      <x:c r="AM63" s="1" t="str">
        <x:v>Área exibida na listagem: 104 m²; URL informa área total 146 m².</x:v>
      </x:c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</x:row>
    <x:row r="64">
      <x:c r="A64" s="1" t="str">
        <x:v>CNM-44685787</x:v>
      </x:c>
      <x:c r="B64" s="83" t="n">
        <x:v>1</x:v>
      </x:c>
      <x:c r="C64" s="1"/>
      <x:c r="D64" s="7" t="n">
        <x:v>780000</x:v>
      </x:c>
      <x:c r="E64" s="85" t="n">
        <x:f>IF(B64=1,D64,"")</x:f>
        <x:v>780000</x:v>
      </x:c>
      <x:c r="F64" s="8" t="n">
        <x:v>97</x:v>
      </x:c>
      <x:c r="G64" s="8"/>
      <x:c r="H64" s="85" t="n">
        <x:f>IF(AND(ISNUMBER(E64),ISNUMBER(F64),F64&gt;0),E64/F64,"")</x:f>
        <x:v>8041.237113402062</x:v>
      </x:c>
      <x:c r="I64" s="1" t="n">
        <x:v>3</x:v>
      </x:c>
      <x:c r="J64" s="1"/>
      <x:c r="K64" s="1" t="n">
        <x:v>2</x:v>
      </x:c>
      <x:c r="L64" s="1" t="n">
        <x:v>1</x:v>
      </x:c>
      <x:c r="M64" s="1"/>
      <x:c r="N64" s="1"/>
      <x:c r="O64" s="1"/>
      <x:c r="P64" s="1" t="n">
        <x:v>0</x:v>
      </x:c>
      <x:c r="Q64" s="1" t="n">
        <x:v>0</x:v>
      </x:c>
      <x:c r="R64" s="1" t="n">
        <x:v>0</x:v>
      </x:c>
      <x:c r="S64" s="1" t="n">
        <x:v>0</x:v>
      </x:c>
      <x:c r="T64" s="1" t="n">
        <x:v>0</x:v>
      </x:c>
      <x:c r="U64" s="1" t="n">
        <x:v>0</x:v>
      </x:c>
      <x:c r="V64" s="7" t="n">
        <x:v>900</x:v>
      </x:c>
      <x:c r="W64" s="7"/>
      <x:c r="X64" s="1" t="n">
        <x:v>0</x:v>
      </x:c>
      <x:c r="Y64" s="1" t="n">
        <x:v>0</x:v>
      </x:c>
      <x:c r="Z64" s="1" t="n">
        <x:v>0</x:v>
      </x:c>
      <x:c r="AA64" s="1" t="n">
        <x:v>0</x:v>
      </x:c>
      <x:c r="AB64" s="1" t="n">
        <x:v>0</x:v>
      </x:c>
      <x:c r="AC64" s="84"/>
      <x:c r="AD64" s="84"/>
      <x:c r="AE64" s="84"/>
      <x:c r="AF64" s="1" t="n">
        <x:v>1</x:v>
      </x:c>
      <x:c r="AG64" s="1" t="n">
        <x:v>3</x:v>
      </x:c>
      <x:c r="AH64" s="10" t="n">
        <x:v>46278.625</x:v>
      </x:c>
      <x:c r="AI64" s="1" t="str">
        <x:v>Chaves na Mão</x:v>
      </x:c>
      <x:c r="AJ64" s="1" t="str">
        <x:v>Rua Tiradentes</x:v>
      </x:c>
      <x:c r="AK64" s="86" t="str">
        <x:v>https://www.chavesnamao.com.br/imovel/apartamento-a-venda-3-quartos-com-garagem-sc-florianopolis-centro-97m2-RS780000/id-44685787/</x:v>
      </x:c>
      <x:c r="AL64" s="1" t="str">
        <x:v>Somente anúncio; confirmar com fonte e vistoria</x:v>
      </x:c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</x:row>
    <x:row r="65">
      <x:c r="A65" s="1" t="str">
        <x:v>CNM-43900926</x:v>
      </x:c>
      <x:c r="B65" s="83" t="n">
        <x:v>1</x:v>
      </x:c>
      <x:c r="C65" s="1"/>
      <x:c r="D65" s="7" t="n">
        <x:v>1550000</x:v>
      </x:c>
      <x:c r="E65" s="85" t="n">
        <x:f>IF(B65=1,D65,"")</x:f>
        <x:v>1550000</x:v>
      </x:c>
      <x:c r="F65" s="8" t="n">
        <x:v>106</x:v>
      </x:c>
      <x:c r="G65" s="8"/>
      <x:c r="H65" s="85" t="n">
        <x:f>IF(AND(ISNUMBER(E65),ISNUMBER(F65),F65&gt;0),E65/F65,"")</x:f>
        <x:v>14622.641509433963</x:v>
      </x:c>
      <x:c r="I65" s="1" t="n">
        <x:v>3</x:v>
      </x:c>
      <x:c r="J65" s="1"/>
      <x:c r="K65" s="1" t="n">
        <x:v>2</x:v>
      </x:c>
      <x:c r="L65" s="1" t="n">
        <x:v>1</x:v>
      </x:c>
      <x:c r="M65" s="1"/>
      <x:c r="N65" s="1"/>
      <x:c r="O65" s="1"/>
      <x:c r="P65" s="1" t="n">
        <x:v>0</x:v>
      </x:c>
      <x:c r="Q65" s="1" t="n">
        <x:v>0</x:v>
      </x:c>
      <x:c r="R65" s="1" t="n">
        <x:v>0</x:v>
      </x:c>
      <x:c r="S65" s="1" t="n">
        <x:v>0</x:v>
      </x:c>
      <x:c r="T65" s="1" t="n">
        <x:v>0</x:v>
      </x:c>
      <x:c r="U65" s="1" t="n">
        <x:v>0</x:v>
      </x:c>
      <x:c r="V65" s="7"/>
      <x:c r="W65" s="7"/>
      <x:c r="X65" s="1" t="n">
        <x:v>0</x:v>
      </x:c>
      <x:c r="Y65" s="1" t="n">
        <x:v>0</x:v>
      </x:c>
      <x:c r="Z65" s="1" t="n">
        <x:v>0</x:v>
      </x:c>
      <x:c r="AA65" s="1" t="n">
        <x:v>0</x:v>
      </x:c>
      <x:c r="AB65" s="1" t="n">
        <x:v>0</x:v>
      </x:c>
      <x:c r="AC65" s="84"/>
      <x:c r="AD65" s="84"/>
      <x:c r="AE65" s="84"/>
      <x:c r="AF65" s="1" t="n">
        <x:v>1</x:v>
      </x:c>
      <x:c r="AG65" s="1" t="n">
        <x:v>3</x:v>
      </x:c>
      <x:c r="AH65" s="10" t="n">
        <x:v>46278.625</x:v>
      </x:c>
      <x:c r="AI65" s="1" t="str">
        <x:v>Chaves na Mão</x:v>
      </x:c>
      <x:c r="AJ65" s="1" t="str">
        <x:v>Rua Presidente Nereu Ramos, 252</x:v>
      </x:c>
      <x:c r="AK65" s="86" t="str">
        <x:v>https://www.chavesnamao.com.br/imovel/apartamento-a-venda-3-quartos-com-garagem-sc-florianopolis-centro-118m2-RS1550000/id-43900926/</x:v>
      </x:c>
      <x:c r="AL65" s="1" t="str">
        <x:v>Somente anúncio; confirmar com fonte e vistoria</x:v>
      </x:c>
      <x:c r="AM65" s="1" t="str">
        <x:v>URL informa área total 118 m².</x:v>
      </x:c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</x:row>
    <x:row r="66">
      <x:c r="A66" s="1" t="str">
        <x:v>CNM-38697818</x:v>
      </x:c>
      <x:c r="B66" s="83" t="n">
        <x:v>1</x:v>
      </x:c>
      <x:c r="C66" s="1"/>
      <x:c r="D66" s="7" t="n">
        <x:v>890000</x:v>
      </x:c>
      <x:c r="E66" s="85" t="n">
        <x:f>IF(B66=1,D66,"")</x:f>
        <x:v>890000</x:v>
      </x:c>
      <x:c r="F66" s="8" t="n">
        <x:v>60</x:v>
      </x:c>
      <x:c r="G66" s="8"/>
      <x:c r="H66" s="85" t="n">
        <x:f>IF(AND(ISNUMBER(E66),ISNUMBER(F66),F66&gt;0),E66/F66,"")</x:f>
        <x:v>14833.333333333334</x:v>
      </x:c>
      <x:c r="I66" s="1" t="n">
        <x:v>2</x:v>
      </x:c>
      <x:c r="J66" s="1"/>
      <x:c r="K66" s="1" t="n">
        <x:v>2</x:v>
      </x:c>
      <x:c r="L66" s="1" t="n">
        <x:v>1</x:v>
      </x:c>
      <x:c r="M66" s="1"/>
      <x:c r="N66" s="1"/>
      <x:c r="O66" s="1"/>
      <x:c r="P66" s="1" t="n">
        <x:v>0</x:v>
      </x:c>
      <x:c r="Q66" s="1" t="n">
        <x:v>0</x:v>
      </x:c>
      <x:c r="R66" s="1" t="n">
        <x:v>0</x:v>
      </x:c>
      <x:c r="S66" s="1" t="n">
        <x:v>0</x:v>
      </x:c>
      <x:c r="T66" s="1" t="n">
        <x:v>0</x:v>
      </x:c>
      <x:c r="U66" s="1" t="n">
        <x:v>0</x:v>
      </x:c>
      <x:c r="V66" s="7" t="n">
        <x:v>850</x:v>
      </x:c>
      <x:c r="W66" s="7"/>
      <x:c r="X66" s="1" t="n">
        <x:v>0</x:v>
      </x:c>
      <x:c r="Y66" s="1" t="n">
        <x:v>0</x:v>
      </x:c>
      <x:c r="Z66" s="1" t="n">
        <x:v>0</x:v>
      </x:c>
      <x:c r="AA66" s="1" t="n">
        <x:v>0</x:v>
      </x:c>
      <x:c r="AB66" s="1" t="n">
        <x:v>0</x:v>
      </x:c>
      <x:c r="AC66" s="84"/>
      <x:c r="AD66" s="84"/>
      <x:c r="AE66" s="84"/>
      <x:c r="AF66" s="1" t="n">
        <x:v>1</x:v>
      </x:c>
      <x:c r="AG66" s="1" t="n">
        <x:v>3</x:v>
      </x:c>
      <x:c r="AH66" s="10" t="n">
        <x:v>46278.625</x:v>
      </x:c>
      <x:c r="AI66" s="1" t="str">
        <x:v>Chaves na Mão</x:v>
      </x:c>
      <x:c r="AJ66" s="1" t="str">
        <x:v>Rua São Francisco, 141</x:v>
      </x:c>
      <x:c r="AK66" s="86" t="str">
        <x:v>https://www.chavesnamao.com.br/imovel/apartamento-a-venda-2-quartos-com-garagem-sc-florianopolis-centro-106m2-RS890000/id-38697818/</x:v>
      </x:c>
      <x:c r="AL66" s="1" t="str">
        <x:v>Somente anúncio; confirmar com fonte e vistoria</x:v>
      </x:c>
      <x:c r="AM66" s="1" t="str">
        <x:v>URL informa área total 106 m².</x:v>
      </x:c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</x:row>
    <x:row r="67">
      <x:c r="A67" s="1" t="str">
        <x:v>CNM-40704506</x:v>
      </x:c>
      <x:c r="B67" s="83" t="n">
        <x:v>1</x:v>
      </x:c>
      <x:c r="C67" s="1"/>
      <x:c r="D67" s="7" t="n">
        <x:v>880000</x:v>
      </x:c>
      <x:c r="E67" s="85" t="n">
        <x:f>IF(B67=1,D67,"")</x:f>
        <x:v>880000</x:v>
      </x:c>
      <x:c r="F67" s="8" t="n">
        <x:v>104</x:v>
      </x:c>
      <x:c r="G67" s="8"/>
      <x:c r="H67" s="85" t="n">
        <x:f>IF(AND(ISNUMBER(E67),ISNUMBER(F67),F67&gt;0),E67/F67,"")</x:f>
        <x:v>8461.538461538461</x:v>
      </x:c>
      <x:c r="I67" s="1" t="n">
        <x:v>3</x:v>
      </x:c>
      <x:c r="J67" s="1"/>
      <x:c r="K67" s="1" t="n">
        <x:v>2</x:v>
      </x:c>
      <x:c r="L67" s="1" t="n">
        <x:v>1</x:v>
      </x:c>
      <x:c r="M67" s="1"/>
      <x:c r="N67" s="1"/>
      <x:c r="O67" s="1"/>
      <x:c r="P67" s="1" t="n">
        <x:v>0</x:v>
      </x:c>
      <x:c r="Q67" s="1" t="n">
        <x:v>0</x:v>
      </x:c>
      <x:c r="R67" s="1" t="n">
        <x:v>0</x:v>
      </x:c>
      <x:c r="S67" s="1" t="n">
        <x:v>0</x:v>
      </x:c>
      <x:c r="T67" s="1" t="n">
        <x:v>0</x:v>
      </x:c>
      <x:c r="U67" s="1" t="n">
        <x:v>0</x:v>
      </x:c>
      <x:c r="V67" s="7" t="n">
        <x:v>836</x:v>
      </x:c>
      <x:c r="W67" s="7"/>
      <x:c r="X67" s="1" t="n">
        <x:v>0</x:v>
      </x:c>
      <x:c r="Y67" s="1" t="n">
        <x:v>0</x:v>
      </x:c>
      <x:c r="Z67" s="1" t="n">
        <x:v>0</x:v>
      </x:c>
      <x:c r="AA67" s="1" t="n">
        <x:v>0</x:v>
      </x:c>
      <x:c r="AB67" s="1" t="n">
        <x:v>0</x:v>
      </x:c>
      <x:c r="AC67" s="84"/>
      <x:c r="AD67" s="84"/>
      <x:c r="AE67" s="84"/>
      <x:c r="AF67" s="1" t="n">
        <x:v>1</x:v>
      </x:c>
      <x:c r="AG67" s="1" t="n">
        <x:v>3</x:v>
      </x:c>
      <x:c r="AH67" s="10" t="n">
        <x:v>46278.625</x:v>
      </x:c>
      <x:c r="AI67" s="1" t="str">
        <x:v>Chaves na Mão</x:v>
      </x:c>
      <x:c r="AJ67" s="1" t="str">
        <x:v>Avenida Mauro Ramos, 135</x:v>
      </x:c>
      <x:c r="AK67" s="86" t="str">
        <x:v>https://www.chavesnamao.com.br/imovel/apartamento-a-venda-3-quartos-com-garagem-sc-florianopolis-centro-122m2-RS880000/id-40704506/</x:v>
      </x:c>
      <x:c r="AL67" s="1" t="str">
        <x:v>Somente anúncio; confirmar com fonte e vistoria</x:v>
      </x:c>
      <x:c r="AM67" s="1" t="str">
        <x:v>URL informa área total 122 m².</x:v>
      </x:c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</x:row>
    <x:row r="68">
      <x:c r="A68" s="1" t="str">
        <x:v>CNM-39013047</x:v>
      </x:c>
      <x:c r="B68" s="83" t="n">
        <x:v>1</x:v>
      </x:c>
      <x:c r="C68" s="1"/>
      <x:c r="D68" s="7" t="n">
        <x:v>1890000</x:v>
      </x:c>
      <x:c r="E68" s="85" t="n">
        <x:f>IF(B68=1,D68,"")</x:f>
        <x:v>1890000</x:v>
      </x:c>
      <x:c r="F68" s="8" t="n">
        <x:v>73</x:v>
      </x:c>
      <x:c r="G68" s="8"/>
      <x:c r="H68" s="85" t="n">
        <x:f>IF(AND(ISNUMBER(E68),ISNUMBER(F68),F68&gt;0),E68/F68,"")</x:f>
        <x:v>25890.41095890411</x:v>
      </x:c>
      <x:c r="I68" s="1" t="n">
        <x:v>2</x:v>
      </x:c>
      <x:c r="J68" s="1"/>
      <x:c r="K68" s="1" t="n">
        <x:v>2</x:v>
      </x:c>
      <x:c r="L68" s="1" t="n">
        <x:v>1</x:v>
      </x:c>
      <x:c r="M68" s="1"/>
      <x:c r="N68" s="1"/>
      <x:c r="O68" s="1"/>
      <x:c r="P68" s="1" t="n">
        <x:v>0</x:v>
      </x:c>
      <x:c r="Q68" s="1" t="n">
        <x:v>0</x:v>
      </x:c>
      <x:c r="R68" s="1" t="n">
        <x:v>0</x:v>
      </x:c>
      <x:c r="S68" s="1" t="n">
        <x:v>0</x:v>
      </x:c>
      <x:c r="T68" s="1" t="n">
        <x:v>0</x:v>
      </x:c>
      <x:c r="U68" s="1" t="n">
        <x:v>0</x:v>
      </x:c>
      <x:c r="V68" s="7"/>
      <x:c r="W68" s="7"/>
      <x:c r="X68" s="1" t="n">
        <x:v>0</x:v>
      </x:c>
      <x:c r="Y68" s="1" t="n">
        <x:v>0</x:v>
      </x:c>
      <x:c r="Z68" s="1" t="n">
        <x:v>0</x:v>
      </x:c>
      <x:c r="AA68" s="1" t="n">
        <x:v>0</x:v>
      </x:c>
      <x:c r="AB68" s="1" t="n">
        <x:v>0</x:v>
      </x:c>
      <x:c r="AC68" s="84"/>
      <x:c r="AD68" s="84"/>
      <x:c r="AE68" s="84"/>
      <x:c r="AF68" s="1" t="n">
        <x:v>1</x:v>
      </x:c>
      <x:c r="AG68" s="1" t="n">
        <x:v>3</x:v>
      </x:c>
      <x:c r="AH68" s="10" t="n">
        <x:v>46278.625</x:v>
      </x:c>
      <x:c r="AI68" s="1" t="str">
        <x:v>Chaves na Mão</x:v>
      </x:c>
      <x:c r="AJ68" s="1" t="str">
        <x:v>Rua Felipe Schmidt</x:v>
      </x:c>
      <x:c r="AK68" s="86" t="str">
        <x:v>https://www.chavesnamao.com.br/imovel/apartamento-a-venda-2-quartos-com-garagem-sc-florianopolis-centro-73m2-RS1890000/id-39013047/</x:v>
      </x:c>
      <x:c r="AL68" s="1" t="str">
        <x:v>Somente anúncio; confirmar com fonte e vistoria</x:v>
      </x:c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</x:row>
    <x:row r="69">
      <x:c r="A69" s="1" t="str">
        <x:v>CNM-25828732</x:v>
      </x:c>
      <x:c r="B69" s="83" t="n">
        <x:v>0</x:v>
      </x:c>
      <x:c r="C69" s="1" t="str">
        <x:v>duplicidade provável de GR-34953</x:v>
      </x:c>
      <x:c r="D69" s="7" t="n">
        <x:v>815000</x:v>
      </x:c>
      <x:c r="E69" s="85" t="str">
        <x:f>IF(B69=1,D69,"")</x:f>
      </x:c>
      <x:c r="F69" s="8" t="n">
        <x:v>80</x:v>
      </x:c>
      <x:c r="G69" s="8"/>
      <x:c r="H69" s="85" t="str">
        <x:f>IF(AND(ISNUMBER(E69),ISNUMBER(F69),F69&gt;0),E69/F69,"")</x:f>
      </x:c>
      <x:c r="I69" s="1" t="n">
        <x:v>3</x:v>
      </x:c>
      <x:c r="J69" s="1"/>
      <x:c r="K69" s="1" t="n">
        <x:v>2</x:v>
      </x:c>
      <x:c r="L69" s="1" t="n">
        <x:v>1</x:v>
      </x:c>
      <x:c r="M69" s="1"/>
      <x:c r="N69" s="1"/>
      <x:c r="O69" s="1"/>
      <x:c r="P69" s="1" t="n">
        <x:v>0</x:v>
      </x:c>
      <x:c r="Q69" s="1" t="n">
        <x:v>0</x:v>
      </x:c>
      <x:c r="R69" s="1" t="n">
        <x:v>0</x:v>
      </x:c>
      <x:c r="S69" s="1" t="n">
        <x:v>0</x:v>
      </x:c>
      <x:c r="T69" s="1" t="n">
        <x:v>0</x:v>
      </x:c>
      <x:c r="U69" s="1" t="n">
        <x:v>0</x:v>
      </x:c>
      <x:c r="V69" s="7" t="n">
        <x:v>1403</x:v>
      </x:c>
      <x:c r="W69" s="7"/>
      <x:c r="X69" s="1" t="n">
        <x:v>0</x:v>
      </x:c>
      <x:c r="Y69" s="1" t="n">
        <x:v>0</x:v>
      </x:c>
      <x:c r="Z69" s="1" t="n">
        <x:v>0</x:v>
      </x:c>
      <x:c r="AA69" s="1" t="n">
        <x:v>0</x:v>
      </x:c>
      <x:c r="AB69" s="1" t="n">
        <x:v>0</x:v>
      </x:c>
      <x:c r="AC69" s="84"/>
      <x:c r="AD69" s="84"/>
      <x:c r="AE69" s="84"/>
      <x:c r="AF69" s="1" t="n">
        <x:v>1</x:v>
      </x:c>
      <x:c r="AG69" s="1" t="n">
        <x:v>3</x:v>
      </x:c>
      <x:c r="AH69" s="10" t="n">
        <x:v>46278.625</x:v>
      </x:c>
      <x:c r="AI69" s="1" t="str">
        <x:v>Chaves na Mão</x:v>
      </x:c>
      <x:c r="AJ69" s="1" t="str">
        <x:v>Rua General Bittencourt</x:v>
      </x:c>
      <x:c r="AK69" s="86" t="str">
        <x:v>https://www.chavesnamao.com.br/imovel/apartamento-a-venda-3-quartos-com-garagem-sc-florianopolis-centro-125m2-RS815000/id-25828732/</x:v>
      </x:c>
      <x:c r="AL69" s="1" t="str">
        <x:v>Somente anúncio; confirmar com fonte e vistoria</x:v>
      </x:c>
      <x:c r="AM69" s="1" t="str">
        <x:v>URL informa área total 125 m².</x:v>
      </x:c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</x:row>
    <x:row r="70">
      <x:c r="A70" s="1" t="str">
        <x:v>CNM-39243493</x:v>
      </x:c>
      <x:c r="B70" s="83" t="n">
        <x:v>1</x:v>
      </x:c>
      <x:c r="C70" s="1"/>
      <x:c r="D70" s="7" t="n">
        <x:v>1100000</x:v>
      </x:c>
      <x:c r="E70" s="85" t="n">
        <x:f>IF(B70=1,D70,"")</x:f>
        <x:v>1100000</x:v>
      </x:c>
      <x:c r="F70" s="8" t="n">
        <x:v>68</x:v>
      </x:c>
      <x:c r="G70" s="8"/>
      <x:c r="H70" s="85" t="n">
        <x:f>IF(AND(ISNUMBER(E70),ISNUMBER(F70),F70&gt;0),E70/F70,"")</x:f>
        <x:v>16176.470588235294</x:v>
      </x:c>
      <x:c r="I70" s="1" t="n">
        <x:v>2</x:v>
      </x:c>
      <x:c r="J70" s="1"/>
      <x:c r="K70" s="1" t="n">
        <x:v>2</x:v>
      </x:c>
      <x:c r="L70" s="1" t="n">
        <x:v>2</x:v>
      </x:c>
      <x:c r="M70" s="1"/>
      <x:c r="N70" s="1"/>
      <x:c r="O70" s="1"/>
      <x:c r="P70" s="1" t="n">
        <x:v>0</x:v>
      </x:c>
      <x:c r="Q70" s="1" t="n">
        <x:v>0</x:v>
      </x:c>
      <x:c r="R70" s="1" t="n">
        <x:v>0</x:v>
      </x:c>
      <x:c r="S70" s="1" t="n">
        <x:v>0</x:v>
      </x:c>
      <x:c r="T70" s="1" t="n">
        <x:v>0</x:v>
      </x:c>
      <x:c r="U70" s="1" t="n">
        <x:v>0</x:v>
      </x:c>
      <x:c r="V70" s="7" t="n">
        <x:v>900</x:v>
      </x:c>
      <x:c r="W70" s="7"/>
      <x:c r="X70" s="1" t="n">
        <x:v>0</x:v>
      </x:c>
      <x:c r="Y70" s="1" t="n">
        <x:v>0</x:v>
      </x:c>
      <x:c r="Z70" s="1" t="n">
        <x:v>0</x:v>
      </x:c>
      <x:c r="AA70" s="1" t="n">
        <x:v>0</x:v>
      </x:c>
      <x:c r="AB70" s="1" t="n">
        <x:v>0</x:v>
      </x:c>
      <x:c r="AC70" s="84"/>
      <x:c r="AD70" s="84"/>
      <x:c r="AE70" s="84"/>
      <x:c r="AF70" s="1" t="n">
        <x:v>1</x:v>
      </x:c>
      <x:c r="AG70" s="1" t="n">
        <x:v>3</x:v>
      </x:c>
      <x:c r="AH70" s="10" t="n">
        <x:v>46278.625</x:v>
      </x:c>
      <x:c r="AI70" s="1" t="str">
        <x:v>Chaves na Mão</x:v>
      </x:c>
      <x:c r="AJ70" s="1" t="str">
        <x:v>Rua Hermann Blumenau, 111</x:v>
      </x:c>
      <x:c r="AK70" s="86" t="str">
        <x:v>https://www.chavesnamao.com.br/imovel/apartamento-a-venda-2-quartos-com-garagem-sc-florianopolis-centro-95m2-RS1100000/id-39243493/</x:v>
      </x:c>
      <x:c r="AL70" s="1" t="str">
        <x:v>Somente anúncio; confirmar com fonte e vistoria</x:v>
      </x:c>
      <x:c r="AM70" s="1" t="str">
        <x:v>URL informa área total 95 m².</x:v>
      </x:c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</x:row>
    <x:row r="71">
      <x:c r="A71" s="1" t="str">
        <x:v>CNM-41253377</x:v>
      </x:c>
      <x:c r="B71" s="83" t="n">
        <x:v>1</x:v>
      </x:c>
      <x:c r="C71" s="1"/>
      <x:c r="D71" s="7" t="n">
        <x:v>1600000</x:v>
      </x:c>
      <x:c r="E71" s="85" t="n">
        <x:f>IF(B71=1,D71,"")</x:f>
        <x:v>1600000</x:v>
      </x:c>
      <x:c r="F71" s="8" t="n">
        <x:v>142</x:v>
      </x:c>
      <x:c r="G71" s="8"/>
      <x:c r="H71" s="85" t="n">
        <x:f>IF(AND(ISNUMBER(E71),ISNUMBER(F71),F71&gt;0),E71/F71,"")</x:f>
        <x:v>11267.605633802817</x:v>
      </x:c>
      <x:c r="I71" s="1" t="n">
        <x:v>3</x:v>
      </x:c>
      <x:c r="J71" s="1"/>
      <x:c r="K71" s="1" t="n">
        <x:v>4</x:v>
      </x:c>
      <x:c r="L71" s="1" t="n">
        <x:v>1</x:v>
      </x:c>
      <x:c r="M71" s="1"/>
      <x:c r="N71" s="1"/>
      <x:c r="O71" s="1"/>
      <x:c r="P71" s="1" t="n">
        <x:v>0</x:v>
      </x:c>
      <x:c r="Q71" s="1" t="n">
        <x:v>0</x:v>
      </x:c>
      <x:c r="R71" s="1" t="n">
        <x:v>0</x:v>
      </x:c>
      <x:c r="S71" s="1" t="n">
        <x:v>0</x:v>
      </x:c>
      <x:c r="T71" s="1" t="n">
        <x:v>0</x:v>
      </x:c>
      <x:c r="U71" s="1" t="n">
        <x:v>0</x:v>
      </x:c>
      <x:c r="V71" s="7" t="n">
        <x:v>1355</x:v>
      </x:c>
      <x:c r="W71" s="7"/>
      <x:c r="X71" s="1" t="n">
        <x:v>0</x:v>
      </x:c>
      <x:c r="Y71" s="1" t="n">
        <x:v>0</x:v>
      </x:c>
      <x:c r="Z71" s="1" t="n">
        <x:v>0</x:v>
      </x:c>
      <x:c r="AA71" s="1" t="n">
        <x:v>0</x:v>
      </x:c>
      <x:c r="AB71" s="1" t="n">
        <x:v>0</x:v>
      </x:c>
      <x:c r="AC71" s="84"/>
      <x:c r="AD71" s="84"/>
      <x:c r="AE71" s="84"/>
      <x:c r="AF71" s="1" t="n">
        <x:v>1</x:v>
      </x:c>
      <x:c r="AG71" s="1" t="n">
        <x:v>3</x:v>
      </x:c>
      <x:c r="AH71" s="10" t="n">
        <x:v>46278.625</x:v>
      </x:c>
      <x:c r="AI71" s="1" t="str">
        <x:v>Chaves na Mão</x:v>
      </x:c>
      <x:c r="AJ71" s="1" t="str">
        <x:v>Rua Alves de Brito, 77</x:v>
      </x:c>
      <x:c r="AK71" s="86" t="str">
        <x:v>https://www.chavesnamao.com.br/imovel/apartamento-a-venda-3-quartos-com-garagem-sc-florianopolis-centro-209m2-RS1600000/id-41253377/</x:v>
      </x:c>
      <x:c r="AL71" s="1" t="str">
        <x:v>Somente anúncio; confirmar com fonte e vistoria</x:v>
      </x:c>
      <x:c r="AM71" s="1" t="str">
        <x:v>URL informa área total 209 m².</x:v>
      </x:c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</x:row>
    <x:row r="72">
      <x:c r="A72" s="1" t="str">
        <x:v>CNM-38664333</x:v>
      </x:c>
      <x:c r="B72" s="83" t="n">
        <x:v>1</x:v>
      </x:c>
      <x:c r="C72" s="1"/>
      <x:c r="D72" s="7" t="n">
        <x:v>1250000</x:v>
      </x:c>
      <x:c r="E72" s="85" t="n">
        <x:f>IF(B72=1,D72,"")</x:f>
        <x:v>1250000</x:v>
      </x:c>
      <x:c r="F72" s="8" t="n">
        <x:v>60</x:v>
      </x:c>
      <x:c r="G72" s="8"/>
      <x:c r="H72" s="85" t="n">
        <x:f>IF(AND(ISNUMBER(E72),ISNUMBER(F72),F72&gt;0),E72/F72,"")</x:f>
        <x:v>20833.333333333332</x:v>
      </x:c>
      <x:c r="I72" s="1" t="n">
        <x:v>2</x:v>
      </x:c>
      <x:c r="J72" s="1"/>
      <x:c r="K72" s="1" t="n">
        <x:v>2</x:v>
      </x:c>
      <x:c r="L72" s="1" t="n">
        <x:v>1</x:v>
      </x:c>
      <x:c r="M72" s="1"/>
      <x:c r="N72" s="1"/>
      <x:c r="O72" s="1"/>
      <x:c r="P72" s="1" t="n">
        <x:v>0</x:v>
      </x:c>
      <x:c r="Q72" s="1" t="n">
        <x:v>0</x:v>
      </x:c>
      <x:c r="R72" s="1" t="n">
        <x:v>0</x:v>
      </x:c>
      <x:c r="S72" s="1" t="n">
        <x:v>0</x:v>
      </x:c>
      <x:c r="T72" s="1" t="n">
        <x:v>0</x:v>
      </x:c>
      <x:c r="U72" s="1" t="n">
        <x:v>0</x:v>
      </x:c>
      <x:c r="V72" s="7" t="n">
        <x:v>900</x:v>
      </x:c>
      <x:c r="W72" s="7"/>
      <x:c r="X72" s="1" t="n">
        <x:v>0</x:v>
      </x:c>
      <x:c r="Y72" s="1" t="n">
        <x:v>0</x:v>
      </x:c>
      <x:c r="Z72" s="1" t="n">
        <x:v>0</x:v>
      </x:c>
      <x:c r="AA72" s="1" t="n">
        <x:v>0</x:v>
      </x:c>
      <x:c r="AB72" s="1" t="n">
        <x:v>0</x:v>
      </x:c>
      <x:c r="AC72" s="84"/>
      <x:c r="AD72" s="84"/>
      <x:c r="AE72" s="84"/>
      <x:c r="AF72" s="1" t="n">
        <x:v>1</x:v>
      </x:c>
      <x:c r="AG72" s="1" t="n">
        <x:v>3</x:v>
      </x:c>
      <x:c r="AH72" s="10" t="n">
        <x:v>46278.625</x:v>
      </x:c>
      <x:c r="AI72" s="1" t="str">
        <x:v>Chaves na Mão</x:v>
      </x:c>
      <x:c r="AJ72" s="1" t="str">
        <x:v>Cruz e Sousa</x:v>
      </x:c>
      <x:c r="AK72" s="86" t="str">
        <x:v>https://www.chavesnamao.com.br/imovel/apartamento-a-venda-2-quartos-com-garagem-sc-florianopolis-centro-RS1250000/id-38664333/</x:v>
      </x:c>
      <x:c r="AL72" s="1" t="str">
        <x:v>Somente anúncio; confirmar com fonte e vistoria</x:v>
      </x:c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</x:row>
    <x:row r="73">
      <x:c r="A73" s="1" t="str">
        <x:v>CNM-43505842</x:v>
      </x:c>
      <x:c r="B73" s="83" t="n">
        <x:v>0</x:v>
      </x:c>
      <x:c r="C73" s="1" t="str">
        <x:v>duplicidade provável de A02</x:v>
      </x:c>
      <x:c r="D73" s="7" t="n">
        <x:v>1600000</x:v>
      </x:c>
      <x:c r="E73" s="85" t="str">
        <x:f>IF(B73=1,D73,"")</x:f>
      </x:c>
      <x:c r="F73" s="8" t="n">
        <x:v>69</x:v>
      </x:c>
      <x:c r="G73" s="8"/>
      <x:c r="H73" s="85" t="str">
        <x:f>IF(AND(ISNUMBER(E73),ISNUMBER(F73),F73&gt;0),E73/F73,"")</x:f>
      </x:c>
      <x:c r="I73" s="1" t="n">
        <x:v>2</x:v>
      </x:c>
      <x:c r="J73" s="1" t="n">
        <x:v>2</x:v>
      </x:c>
      <x:c r="K73" s="1" t="n">
        <x:v>3</x:v>
      </x:c>
      <x:c r="L73" s="1" t="n">
        <x:v>2</x:v>
      </x:c>
      <x:c r="M73" s="1"/>
      <x:c r="N73" s="1"/>
      <x:c r="O73" s="1"/>
      <x:c r="P73" s="1" t="n">
        <x:v>1</x:v>
      </x:c>
      <x:c r="Q73" s="1" t="n">
        <x:v>0</x:v>
      </x:c>
      <x:c r="R73" s="1" t="n">
        <x:v>0</x:v>
      </x:c>
      <x:c r="S73" s="1" t="n">
        <x:v>0</x:v>
      </x:c>
      <x:c r="T73" s="1" t="n">
        <x:v>0</x:v>
      </x:c>
      <x:c r="U73" s="1" t="n">
        <x:v>0</x:v>
      </x:c>
      <x:c r="V73" s="7" t="n">
        <x:v>997</x:v>
      </x:c>
      <x:c r="W73" s="7"/>
      <x:c r="X73" s="1" t="n">
        <x:v>0</x:v>
      </x:c>
      <x:c r="Y73" s="1" t="n">
        <x:v>0</x:v>
      </x:c>
      <x:c r="Z73" s="1" t="n">
        <x:v>0</x:v>
      </x:c>
      <x:c r="AA73" s="1" t="n">
        <x:v>0</x:v>
      </x:c>
      <x:c r="AB73" s="1" t="n">
        <x:v>0</x:v>
      </x:c>
      <x:c r="AC73" s="84"/>
      <x:c r="AD73" s="84"/>
      <x:c r="AE73" s="84"/>
      <x:c r="AF73" s="1" t="n">
        <x:v>1</x:v>
      </x:c>
      <x:c r="AG73" s="1" t="n">
        <x:v>3</x:v>
      </x:c>
      <x:c r="AH73" s="10" t="n">
        <x:v>46278.625</x:v>
      </x:c>
      <x:c r="AI73" s="1" t="str">
        <x:v>Chaves na Mão</x:v>
      </x:c>
      <x:c r="AJ73" s="1" t="str">
        <x:v>Avenida Hercílio Luz, 1117</x:v>
      </x:c>
      <x:c r="AK73" s="86" t="str">
        <x:v>https://www.chavesnamao.com.br/imovel/apartamento-a-venda-2-quartos-com-garagem-sc-florianopolis-centro-RS1600000/id-43505842/</x:v>
      </x:c>
      <x:c r="AL73" s="1" t="str">
        <x:v>Somente anúncio; confirmar com fonte e vistoria</x:v>
      </x:c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</x:row>
    <x:row r="74">
      <x:c r="A74" s="1" t="str">
        <x:v>CNM-46339457</x:v>
      </x:c>
      <x:c r="B74" s="83" t="n">
        <x:v>1</x:v>
      </x:c>
      <x:c r="C74" s="1"/>
      <x:c r="D74" s="7" t="n">
        <x:v>1060000</x:v>
      </x:c>
      <x:c r="E74" s="85" t="n">
        <x:f>IF(B74=1,D74,"")</x:f>
        <x:v>1060000</x:v>
      </x:c>
      <x:c r="F74" s="8" t="n">
        <x:v>65</x:v>
      </x:c>
      <x:c r="G74" s="8"/>
      <x:c r="H74" s="85" t="n">
        <x:f>IF(AND(ISNUMBER(E74),ISNUMBER(F74),F74&gt;0),E74/F74,"")</x:f>
        <x:v>16307.692307692309</x:v>
      </x:c>
      <x:c r="I74" s="1" t="n">
        <x:v>2</x:v>
      </x:c>
      <x:c r="J74" s="1"/>
      <x:c r="K74" s="1"/>
      <x:c r="L74" s="1"/>
      <x:c r="M74" s="1"/>
      <x:c r="N74" s="1"/>
      <x:c r="O74" s="1"/>
      <x:c r="P74" s="1" t="n">
        <x:v>0</x:v>
      </x:c>
      <x:c r="Q74" s="1" t="n">
        <x:v>0</x:v>
      </x:c>
      <x:c r="R74" s="1" t="n">
        <x:v>0</x:v>
      </x:c>
      <x:c r="S74" s="1" t="n">
        <x:v>0</x:v>
      </x:c>
      <x:c r="T74" s="1" t="n">
        <x:v>0</x:v>
      </x:c>
      <x:c r="U74" s="1" t="n">
        <x:v>0</x:v>
      </x:c>
      <x:c r="V74" s="7" t="n">
        <x:v>1038</x:v>
      </x:c>
      <x:c r="W74" s="7"/>
      <x:c r="X74" s="1" t="n">
        <x:v>0</x:v>
      </x:c>
      <x:c r="Y74" s="1" t="n">
        <x:v>0</x:v>
      </x:c>
      <x:c r="Z74" s="1" t="n">
        <x:v>0</x:v>
      </x:c>
      <x:c r="AA74" s="1" t="n">
        <x:v>0</x:v>
      </x:c>
      <x:c r="AB74" s="1" t="n">
        <x:v>0</x:v>
      </x:c>
      <x:c r="AC74" s="84"/>
      <x:c r="AD74" s="84"/>
      <x:c r="AE74" s="84"/>
      <x:c r="AF74" s="1" t="n">
        <x:v>1</x:v>
      </x:c>
      <x:c r="AG74" s="1" t="n">
        <x:v>3</x:v>
      </x:c>
      <x:c r="AH74" s="10" t="n">
        <x:v>46278.625</x:v>
      </x:c>
      <x:c r="AI74" s="1" t="str">
        <x:v>Chaves na Mão</x:v>
      </x:c>
      <x:c r="AJ74" s="1" t="str">
        <x:v>Avenida Mauro Ramos, 1487</x:v>
      </x:c>
      <x:c r="AK74" s="86" t="str">
        <x:v>https://www.chavesnamao.com.br/imovel/apartamento-a-venda-2-quartos-com-garagem-sc-florianopolis-centro-87m2-RS1060000/id-46339457/</x:v>
      </x:c>
      <x:c r="AL74" s="1" t="str">
        <x:v>Somente anúncio; confirmar com fonte e vistoria</x:v>
      </x:c>
      <x:c r="AM74" s="1" t="str">
        <x:v>URL informa área total 87 m².</x:v>
      </x:c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</x:row>
    <x:row r="75">
      <x:c r="A75" s="1" t="str">
        <x:v>CNM-44059284</x:v>
      </x:c>
      <x:c r="B75" s="83" t="n">
        <x:v>1</x:v>
      </x:c>
      <x:c r="C75" s="1"/>
      <x:c r="D75" s="7" t="n">
        <x:v>1100000</x:v>
      </x:c>
      <x:c r="E75" s="85" t="n">
        <x:f>IF(B75=1,D75,"")</x:f>
        <x:v>1100000</x:v>
      </x:c>
      <x:c r="F75" s="8" t="n">
        <x:v>74</x:v>
      </x:c>
      <x:c r="G75" s="8"/>
      <x:c r="H75" s="85" t="n">
        <x:f>IF(AND(ISNUMBER(E75),ISNUMBER(F75),F75&gt;0),E75/F75,"")</x:f>
        <x:v>14864.864864864865</x:v>
      </x:c>
      <x:c r="I75" s="1" t="n">
        <x:v>2</x:v>
      </x:c>
      <x:c r="J75" s="1"/>
      <x:c r="K75" s="1" t="n">
        <x:v>2</x:v>
      </x:c>
      <x:c r="L75" s="1" t="n">
        <x:v>1</x:v>
      </x:c>
      <x:c r="M75" s="1"/>
      <x:c r="N75" s="1"/>
      <x:c r="O75" s="1"/>
      <x:c r="P75" s="1" t="n">
        <x:v>0</x:v>
      </x:c>
      <x:c r="Q75" s="1" t="n">
        <x:v>0</x:v>
      </x:c>
      <x:c r="R75" s="1" t="n">
        <x:v>0</x:v>
      </x:c>
      <x:c r="S75" s="1" t="n">
        <x:v>0</x:v>
      </x:c>
      <x:c r="T75" s="1" t="n">
        <x:v>0</x:v>
      </x:c>
      <x:c r="U75" s="1" t="n">
        <x:v>0</x:v>
      </x:c>
      <x:c r="V75" s="7" t="n">
        <x:v>873</x:v>
      </x:c>
      <x:c r="W75" s="7"/>
      <x:c r="X75" s="1" t="n">
        <x:v>0</x:v>
      </x:c>
      <x:c r="Y75" s="1" t="n">
        <x:v>0</x:v>
      </x:c>
      <x:c r="Z75" s="1" t="n">
        <x:v>0</x:v>
      </x:c>
      <x:c r="AA75" s="1" t="n">
        <x:v>0</x:v>
      </x:c>
      <x:c r="AB75" s="1" t="n">
        <x:v>0</x:v>
      </x:c>
      <x:c r="AC75" s="84"/>
      <x:c r="AD75" s="84"/>
      <x:c r="AE75" s="84"/>
      <x:c r="AF75" s="1" t="n">
        <x:v>1</x:v>
      </x:c>
      <x:c r="AG75" s="1" t="n">
        <x:v>3</x:v>
      </x:c>
      <x:c r="AH75" s="10" t="n">
        <x:v>46278.625</x:v>
      </x:c>
      <x:c r="AI75" s="1" t="str">
        <x:v>Chaves na Mão</x:v>
      </x:c>
      <x:c r="AJ75" s="1" t="str">
        <x:v>Rua Ângelo La Porta</x:v>
      </x:c>
      <x:c r="AK75" s="86" t="str">
        <x:v>https://www.chavesnamao.com.br/imovel/apartamento-a-venda-2-quartos-com-garagem-sc-florianopolis-centro-98m2-RS1100000/id-44059284/</x:v>
      </x:c>
      <x:c r="AL75" s="1" t="str">
        <x:v>Somente anúncio; confirmar com fonte e vistoria</x:v>
      </x:c>
      <x:c r="AM75" s="1" t="str">
        <x:v>URL informa área total 98 m².</x:v>
      </x:c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</x:row>
    <x:row r="76">
      <x:c r="A76" s="1" t="str">
        <x:v>CNM-37688259</x:v>
      </x:c>
      <x:c r="B76" s="83" t="n">
        <x:v>1</x:v>
      </x:c>
      <x:c r="C76" s="1"/>
      <x:c r="D76" s="7" t="n">
        <x:v>850000</x:v>
      </x:c>
      <x:c r="E76" s="85" t="n">
        <x:f>IF(B76=1,D76,"")</x:f>
        <x:v>850000</x:v>
      </x:c>
      <x:c r="F76" s="8" t="n">
        <x:v>72</x:v>
      </x:c>
      <x:c r="G76" s="8"/>
      <x:c r="H76" s="85" t="n">
        <x:f>IF(AND(ISNUMBER(E76),ISNUMBER(F76),F76&gt;0),E76/F76,"")</x:f>
        <x:v>11805.555555555555</x:v>
      </x:c>
      <x:c r="I76" s="1" t="n">
        <x:v>2</x:v>
      </x:c>
      <x:c r="J76" s="1" t="n">
        <x:v>1</x:v>
      </x:c>
      <x:c r="K76" s="1" t="n">
        <x:v>2</x:v>
      </x:c>
      <x:c r="L76" s="1" t="n">
        <x:v>1</x:v>
      </x:c>
      <x:c r="M76" s="1"/>
      <x:c r="N76" s="1"/>
      <x:c r="O76" s="1"/>
      <x:c r="P76" s="1" t="n">
        <x:v>0</x:v>
      </x:c>
      <x:c r="Q76" s="1" t="n">
        <x:v>0</x:v>
      </x:c>
      <x:c r="R76" s="1" t="n">
        <x:v>0</x:v>
      </x:c>
      <x:c r="S76" s="1" t="n">
        <x:v>0</x:v>
      </x:c>
      <x:c r="T76" s="1" t="n">
        <x:v>0</x:v>
      </x:c>
      <x:c r="U76" s="1" t="n">
        <x:v>0</x:v>
      </x:c>
      <x:c r="V76" s="7" t="n">
        <x:v>700</x:v>
      </x:c>
      <x:c r="W76" s="7"/>
      <x:c r="X76" s="1" t="n">
        <x:v>0</x:v>
      </x:c>
      <x:c r="Y76" s="1" t="n">
        <x:v>0</x:v>
      </x:c>
      <x:c r="Z76" s="1" t="n">
        <x:v>0</x:v>
      </x:c>
      <x:c r="AA76" s="1" t="n">
        <x:v>0</x:v>
      </x:c>
      <x:c r="AB76" s="1" t="n">
        <x:v>0</x:v>
      </x:c>
      <x:c r="AC76" s="84"/>
      <x:c r="AD76" s="84"/>
      <x:c r="AE76" s="84"/>
      <x:c r="AF76" s="1" t="n">
        <x:v>1</x:v>
      </x:c>
      <x:c r="AG76" s="1" t="n">
        <x:v>3</x:v>
      </x:c>
      <x:c r="AH76" s="10" t="n">
        <x:v>46278.625</x:v>
      </x:c>
      <x:c r="AI76" s="1" t="str">
        <x:v>Chaves na Mão</x:v>
      </x:c>
      <x:c r="AJ76" s="1" t="str">
        <x:v>Rua Irmão Joaquim, 114</x:v>
      </x:c>
      <x:c r="AK76" s="86" t="str">
        <x:v>https://www.chavesnamao.com.br/imovel/apartamento-a-venda-2-quartos-com-garagem-sc-florianopolis-centro-72m2-RS850000/id-37688259/</x:v>
      </x:c>
      <x:c r="AL76" s="1" t="str">
        <x:v>Somente anúncio; confirmar com fonte e vistoria</x:v>
      </x:c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</x:row>
    <x:row r="77">
      <x:c r="A77" s="1" t="str">
        <x:v>CNM-36714993</x:v>
      </x:c>
      <x:c r="B77" s="83" t="n">
        <x:v>0</x:v>
      </x:c>
      <x:c r="C77" s="1" t="str">
        <x:v>área fora de 60 a 150 m²</x:v>
      </x:c>
      <x:c r="D77" s="7" t="n">
        <x:v>530000</x:v>
      </x:c>
      <x:c r="E77" s="85" t="str">
        <x:f>IF(B77=1,D77,"")</x:f>
      </x:c>
      <x:c r="F77" s="8" t="n">
        <x:v>57</x:v>
      </x:c>
      <x:c r="G77" s="8"/>
      <x:c r="H77" s="85" t="str">
        <x:f>IF(AND(ISNUMBER(E77),ISNUMBER(F77),F77&gt;0),E77/F77,"")</x:f>
      </x:c>
      <x:c r="I77" s="1" t="n">
        <x:v>2</x:v>
      </x:c>
      <x:c r="J77" s="1"/>
      <x:c r="K77" s="1" t="n">
        <x:v>1</x:v>
      </x:c>
      <x:c r="L77" s="1" t="n">
        <x:v>0</x:v>
      </x:c>
      <x:c r="M77" s="1"/>
      <x:c r="N77" s="1"/>
      <x:c r="O77" s="1"/>
      <x:c r="P77" s="1" t="n">
        <x:v>0</x:v>
      </x:c>
      <x:c r="Q77" s="1" t="n">
        <x:v>0</x:v>
      </x:c>
      <x:c r="R77" s="1" t="n">
        <x:v>0</x:v>
      </x:c>
      <x:c r="S77" s="1" t="n">
        <x:v>0</x:v>
      </x:c>
      <x:c r="T77" s="1" t="n">
        <x:v>0</x:v>
      </x:c>
      <x:c r="U77" s="1" t="n">
        <x:v>0</x:v>
      </x:c>
      <x:c r="V77" s="7" t="n">
        <x:v>663</x:v>
      </x:c>
      <x:c r="W77" s="7"/>
      <x:c r="X77" s="1" t="n">
        <x:v>0</x:v>
      </x:c>
      <x:c r="Y77" s="1" t="n">
        <x:v>0</x:v>
      </x:c>
      <x:c r="Z77" s="1" t="n">
        <x:v>0</x:v>
      </x:c>
      <x:c r="AA77" s="1" t="n">
        <x:v>0</x:v>
      </x:c>
      <x:c r="AB77" s="1" t="n">
        <x:v>0</x:v>
      </x:c>
      <x:c r="AC77" s="84"/>
      <x:c r="AD77" s="84"/>
      <x:c r="AE77" s="84"/>
      <x:c r="AF77" s="1" t="n">
        <x:v>1</x:v>
      </x:c>
      <x:c r="AG77" s="1" t="n">
        <x:v>3</x:v>
      </x:c>
      <x:c r="AH77" s="10" t="n">
        <x:v>46278.625</x:v>
      </x:c>
      <x:c r="AI77" s="1" t="str">
        <x:v>Chaves na Mão</x:v>
      </x:c>
      <x:c r="AJ77" s="1" t="str">
        <x:v>Rua Anita Garibaldi, 30</x:v>
      </x:c>
      <x:c r="AK77" s="86" t="str">
        <x:v>https://www.chavesnamao.com.br/imovel/apartamento-a-venda-2-quartos-sc-florianopolis-centro-RS530000/id-36714993/</x:v>
      </x:c>
      <x:c r="AL77" s="1" t="str">
        <x:v>Somente anúncio; confirmar com fonte e vistoria</x:v>
      </x:c>
      <x:c r="AM77" s="1" t="str">
        <x:v>Fora da faixa-alvo mínima de 60 m²; mantido como apoio.</x:v>
      </x:c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</x:row>
    <x:row r="78">
      <x:c r="A78" s="1" t="str">
        <x:v>CNM-40083196</x:v>
      </x:c>
      <x:c r="B78" s="83" t="n">
        <x:v>1</x:v>
      </x:c>
      <x:c r="C78" s="1"/>
      <x:c r="D78" s="7" t="n">
        <x:v>1400000</x:v>
      </x:c>
      <x:c r="E78" s="85" t="n">
        <x:f>IF(B78=1,D78,"")</x:f>
        <x:v>1400000</x:v>
      </x:c>
      <x:c r="F78" s="8" t="n">
        <x:v>75</x:v>
      </x:c>
      <x:c r="G78" s="8"/>
      <x:c r="H78" s="85" t="n">
        <x:f>IF(AND(ISNUMBER(E78),ISNUMBER(F78),F78&gt;0),E78/F78,"")</x:f>
        <x:v>18666.666666666668</x:v>
      </x:c>
      <x:c r="I78" s="1" t="n">
        <x:v>2</x:v>
      </x:c>
      <x:c r="J78" s="1"/>
      <x:c r="K78" s="1" t="n">
        <x:v>1</x:v>
      </x:c>
      <x:c r="L78" s="1" t="n">
        <x:v>2</x:v>
      </x:c>
      <x:c r="M78" s="1"/>
      <x:c r="N78" s="1"/>
      <x:c r="O78" s="1"/>
      <x:c r="P78" s="1" t="n">
        <x:v>0</x:v>
      </x:c>
      <x:c r="Q78" s="1" t="n">
        <x:v>0</x:v>
      </x:c>
      <x:c r="R78" s="1" t="n">
        <x:v>0</x:v>
      </x:c>
      <x:c r="S78" s="1" t="n">
        <x:v>0</x:v>
      </x:c>
      <x:c r="T78" s="1" t="n">
        <x:v>0</x:v>
      </x:c>
      <x:c r="U78" s="1" t="n">
        <x:v>0</x:v>
      </x:c>
      <x:c r="V78" s="7" t="n">
        <x:v>1145</x:v>
      </x:c>
      <x:c r="W78" s="7"/>
      <x:c r="X78" s="1" t="n">
        <x:v>0</x:v>
      </x:c>
      <x:c r="Y78" s="1" t="n">
        <x:v>0</x:v>
      </x:c>
      <x:c r="Z78" s="1" t="n">
        <x:v>0</x:v>
      </x:c>
      <x:c r="AA78" s="1" t="n">
        <x:v>0</x:v>
      </x:c>
      <x:c r="AB78" s="1" t="n">
        <x:v>0</x:v>
      </x:c>
      <x:c r="AC78" s="84"/>
      <x:c r="AD78" s="84"/>
      <x:c r="AE78" s="84"/>
      <x:c r="AF78" s="1" t="n">
        <x:v>1</x:v>
      </x:c>
      <x:c r="AG78" s="1" t="n">
        <x:v>3</x:v>
      </x:c>
      <x:c r="AH78" s="10" t="n">
        <x:v>46278.625</x:v>
      </x:c>
      <x:c r="AI78" s="1" t="str">
        <x:v>Chaves na Mão</x:v>
      </x:c>
      <x:c r="AJ78" s="1" t="str">
        <x:v>Rua Presidente Coutinho, 376</x:v>
      </x:c>
      <x:c r="AK78" s="86" t="str">
        <x:v>https://www.chavesnamao.com.br/imovel/apartamento-a-venda-2-quartos-com-garagem-sc-florianopolis-centro-75m2-RS1400000/id-40083196/</x:v>
      </x:c>
      <x:c r="AL78" s="1" t="str">
        <x:v>Somente anúncio; confirmar com fonte e vistoria</x:v>
      </x:c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</x:row>
    <x:row r="79">
      <x:c r="A79" s="1" t="str">
        <x:v>CNM-45968069</x:v>
      </x:c>
      <x:c r="B79" s="83" t="n">
        <x:v>1</x:v>
      </x:c>
      <x:c r="C79" s="1"/>
      <x:c r="D79" s="7" t="n">
        <x:v>744000</x:v>
      </x:c>
      <x:c r="E79" s="85" t="n">
        <x:f>IF(B79=1,D79,"")</x:f>
        <x:v>744000</x:v>
      </x:c>
      <x:c r="F79" s="8" t="n">
        <x:v>61</x:v>
      </x:c>
      <x:c r="G79" s="8"/>
      <x:c r="H79" s="85" t="n">
        <x:f>IF(AND(ISNUMBER(E79),ISNUMBER(F79),F79&gt;0),E79/F79,"")</x:f>
        <x:v>12196.72131147541</x:v>
      </x:c>
      <x:c r="I79" s="1" t="n">
        <x:v>2</x:v>
      </x:c>
      <x:c r="J79" s="1"/>
      <x:c r="K79" s="1" t="n">
        <x:v>1</x:v>
      </x:c>
      <x:c r="L79" s="1" t="n">
        <x:v>1</x:v>
      </x:c>
      <x:c r="M79" s="1"/>
      <x:c r="N79" s="1"/>
      <x:c r="O79" s="1"/>
      <x:c r="P79" s="1" t="n">
        <x:v>0</x:v>
      </x:c>
      <x:c r="Q79" s="1" t="n">
        <x:v>0</x:v>
      </x:c>
      <x:c r="R79" s="1" t="n">
        <x:v>0</x:v>
      </x:c>
      <x:c r="S79" s="1" t="n">
        <x:v>0</x:v>
      </x:c>
      <x:c r="T79" s="1" t="n">
        <x:v>0</x:v>
      </x:c>
      <x:c r="U79" s="1" t="n">
        <x:v>0</x:v>
      </x:c>
      <x:c r="V79" s="7" t="n">
        <x:v>850</x:v>
      </x:c>
      <x:c r="W79" s="7"/>
      <x:c r="X79" s="1" t="n">
        <x:v>0</x:v>
      </x:c>
      <x:c r="Y79" s="1" t="n">
        <x:v>0</x:v>
      </x:c>
      <x:c r="Z79" s="1" t="n">
        <x:v>0</x:v>
      </x:c>
      <x:c r="AA79" s="1" t="n">
        <x:v>0</x:v>
      </x:c>
      <x:c r="AB79" s="1" t="n">
        <x:v>0</x:v>
      </x:c>
      <x:c r="AC79" s="84"/>
      <x:c r="AD79" s="84"/>
      <x:c r="AE79" s="84"/>
      <x:c r="AF79" s="1" t="n">
        <x:v>1</x:v>
      </x:c>
      <x:c r="AG79" s="1" t="n">
        <x:v>3</x:v>
      </x:c>
      <x:c r="AH79" s="10" t="n">
        <x:v>46278.625</x:v>
      </x:c>
      <x:c r="AI79" s="1" t="str">
        <x:v>Chaves na Mão</x:v>
      </x:c>
      <x:c r="AJ79" s="1" t="str">
        <x:v>Rua Major Costa, 118</x:v>
      </x:c>
      <x:c r="AK79" s="86" t="str">
        <x:v>https://www.chavesnamao.com.br/imovel/apartamento-a-venda-2-quartos-com-garagem-sc-florianopolis-centro-RS744000/id-45968069/</x:v>
      </x:c>
      <x:c r="AL79" s="1" t="str">
        <x:v>Somente anúncio; confirmar com fonte e vistoria</x:v>
      </x:c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</x:row>
    <x:row r="80">
      <x:c r="A80" s="1" t="str">
        <x:v>CNM-42507972</x:v>
      </x:c>
      <x:c r="B80" s="83" t="n">
        <x:v>1</x:v>
      </x:c>
      <x:c r="C80" s="1"/>
      <x:c r="D80" s="7" t="n">
        <x:v>1700000</x:v>
      </x:c>
      <x:c r="E80" s="85" t="n">
        <x:f>IF(B80=1,D80,"")</x:f>
        <x:v>1700000</x:v>
      </x:c>
      <x:c r="F80" s="8" t="n">
        <x:v>75</x:v>
      </x:c>
      <x:c r="G80" s="8"/>
      <x:c r="H80" s="85" t="n">
        <x:f>IF(AND(ISNUMBER(E80),ISNUMBER(F80),F80&gt;0),E80/F80,"")</x:f>
        <x:v>22666.666666666668</x:v>
      </x:c>
      <x:c r="I80" s="1" t="n">
        <x:v>2</x:v>
      </x:c>
      <x:c r="J80" s="1"/>
      <x:c r="K80" s="1" t="n">
        <x:v>2</x:v>
      </x:c>
      <x:c r="L80" s="1" t="n">
        <x:v>2</x:v>
      </x:c>
      <x:c r="M80" s="1"/>
      <x:c r="N80" s="1"/>
      <x:c r="O80" s="1"/>
      <x:c r="P80" s="1" t="n">
        <x:v>0</x:v>
      </x:c>
      <x:c r="Q80" s="1" t="n">
        <x:v>0</x:v>
      </x:c>
      <x:c r="R80" s="1" t="n">
        <x:v>0</x:v>
      </x:c>
      <x:c r="S80" s="1" t="n">
        <x:v>0</x:v>
      </x:c>
      <x:c r="T80" s="1" t="n">
        <x:v>0</x:v>
      </x:c>
      <x:c r="U80" s="1" t="n">
        <x:v>0</x:v>
      </x:c>
      <x:c r="V80" s="7"/>
      <x:c r="W80" s="7"/>
      <x:c r="X80" s="1" t="n">
        <x:v>0</x:v>
      </x:c>
      <x:c r="Y80" s="1" t="n">
        <x:v>0</x:v>
      </x:c>
      <x:c r="Z80" s="1" t="n">
        <x:v>0</x:v>
      </x:c>
      <x:c r="AA80" s="1" t="n">
        <x:v>0</x:v>
      </x:c>
      <x:c r="AB80" s="1" t="n">
        <x:v>0</x:v>
      </x:c>
      <x:c r="AC80" s="84"/>
      <x:c r="AD80" s="84"/>
      <x:c r="AE80" s="84"/>
      <x:c r="AF80" s="1" t="n">
        <x:v>1</x:v>
      </x:c>
      <x:c r="AG80" s="1" t="n">
        <x:v>3</x:v>
      </x:c>
      <x:c r="AH80" s="10" t="n">
        <x:v>46278.625</x:v>
      </x:c>
      <x:c r="AI80" s="1" t="str">
        <x:v>Chaves na Mão</x:v>
      </x:c>
      <x:c r="AJ80" s="1" t="str">
        <x:v>Avenida Mauro Ramos, 1502</x:v>
      </x:c>
      <x:c r="AK80" s="86" t="str">
        <x:v>https://www.chavesnamao.com.br/imovel/apartamento-a-venda-2-quartos-com-garagem-sc-florianopolis-centro-100m2-RS1700000/id-42507972/</x:v>
      </x:c>
      <x:c r="AL80" s="1" t="str">
        <x:v>Somente anúncio; confirmar com fonte e vistoria</x:v>
      </x:c>
      <x:c r="AM80" s="1" t="str">
        <x:v>URL informa área total 100 m².</x:v>
      </x:c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</x:row>
    <x:row r="81">
      <x:c r="A81" s="1" t="str">
        <x:v>CNM-44257369</x:v>
      </x:c>
      <x:c r="B81" s="83" t="n">
        <x:v>1</x:v>
      </x:c>
      <x:c r="C81" s="1"/>
      <x:c r="D81" s="7" t="n">
        <x:v>590000</x:v>
      </x:c>
      <x:c r="E81" s="85" t="n">
        <x:f>IF(B81=1,D81,"")</x:f>
        <x:v>590000</x:v>
      </x:c>
      <x:c r="F81" s="8" t="n">
        <x:v>113</x:v>
      </x:c>
      <x:c r="G81" s="8"/>
      <x:c r="H81" s="85" t="n">
        <x:f>IF(AND(ISNUMBER(E81),ISNUMBER(F81),F81&gt;0),E81/F81,"")</x:f>
        <x:v>5221.238938053098</x:v>
      </x:c>
      <x:c r="I81" s="1" t="n">
        <x:v>2</x:v>
      </x:c>
      <x:c r="J81" s="1"/>
      <x:c r="K81" s="1" t="n">
        <x:v>2</x:v>
      </x:c>
      <x:c r="L81" s="1" t="n">
        <x:v>0</x:v>
      </x:c>
      <x:c r="M81" s="1"/>
      <x:c r="N81" s="1"/>
      <x:c r="O81" s="1"/>
      <x:c r="P81" s="1" t="n">
        <x:v>0</x:v>
      </x:c>
      <x:c r="Q81" s="1" t="n">
        <x:v>0</x:v>
      </x:c>
      <x:c r="R81" s="1" t="n">
        <x:v>0</x:v>
      </x:c>
      <x:c r="S81" s="1" t="n">
        <x:v>0</x:v>
      </x:c>
      <x:c r="T81" s="1" t="n">
        <x:v>0</x:v>
      </x:c>
      <x:c r="U81" s="1" t="n">
        <x:v>0</x:v>
      </x:c>
      <x:c r="V81" s="7" t="n">
        <x:v>700</x:v>
      </x:c>
      <x:c r="W81" s="7"/>
      <x:c r="X81" s="1" t="n">
        <x:v>0</x:v>
      </x:c>
      <x:c r="Y81" s="1" t="n">
        <x:v>0</x:v>
      </x:c>
      <x:c r="Z81" s="1" t="n">
        <x:v>0</x:v>
      </x:c>
      <x:c r="AA81" s="1" t="n">
        <x:v>0</x:v>
      </x:c>
      <x:c r="AB81" s="1" t="n">
        <x:v>0</x:v>
      </x:c>
      <x:c r="AC81" s="84"/>
      <x:c r="AD81" s="84"/>
      <x:c r="AE81" s="84"/>
      <x:c r="AF81" s="1" t="n">
        <x:v>1</x:v>
      </x:c>
      <x:c r="AG81" s="1" t="n">
        <x:v>3</x:v>
      </x:c>
      <x:c r="AH81" s="10" t="n">
        <x:v>46278.625</x:v>
      </x:c>
      <x:c r="AI81" s="1" t="str">
        <x:v>Chaves na Mão</x:v>
      </x:c>
      <x:c r="AJ81" s="1" t="str">
        <x:v>Rua Felipe Schmidt, 583</x:v>
      </x:c>
      <x:c r="AK81" s="86" t="str">
        <x:v>https://www.chavesnamao.com.br/imovel/apartamento-a-venda-2-quartos-sc-florianopolis-centro-113m2-RS590000/id-44257369/</x:v>
      </x:c>
      <x:c r="AL81" s="1" t="str">
        <x:v>Somente anúncio; confirmar com fonte e vistoria</x:v>
      </x:c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</x:row>
    <x:row r="82">
      <x:c r="A82" s="1" t="str">
        <x:v>CNM-35072430</x:v>
      </x:c>
      <x:c r="B82" s="83" t="n">
        <x:v>1</x:v>
      </x:c>
      <x:c r="C82" s="1"/>
      <x:c r="D82" s="7" t="n">
        <x:v>729000</x:v>
      </x:c>
      <x:c r="E82" s="85" t="n">
        <x:f>IF(B82=1,D82,"")</x:f>
        <x:v>729000</x:v>
      </x:c>
      <x:c r="F82" s="8" t="n">
        <x:v>80</x:v>
      </x:c>
      <x:c r="G82" s="8"/>
      <x:c r="H82" s="85" t="n">
        <x:f>IF(AND(ISNUMBER(E82),ISNUMBER(F82),F82&gt;0),E82/F82,"")</x:f>
        <x:v>9112.5</x:v>
      </x:c>
      <x:c r="I82" s="1" t="n">
        <x:v>2</x:v>
      </x:c>
      <x:c r="J82" s="1"/>
      <x:c r="K82" s="1" t="n">
        <x:v>2</x:v>
      </x:c>
      <x:c r="L82" s="1" t="n">
        <x:v>1</x:v>
      </x:c>
      <x:c r="M82" s="1"/>
      <x:c r="N82" s="1"/>
      <x:c r="O82" s="1"/>
      <x:c r="P82" s="1" t="n">
        <x:v>0</x:v>
      </x:c>
      <x:c r="Q82" s="1" t="n">
        <x:v>0</x:v>
      </x:c>
      <x:c r="R82" s="1" t="n">
        <x:v>0</x:v>
      </x:c>
      <x:c r="S82" s="1" t="n">
        <x:v>0</x:v>
      </x:c>
      <x:c r="T82" s="1" t="n">
        <x:v>0</x:v>
      </x:c>
      <x:c r="U82" s="1" t="n">
        <x:v>0</x:v>
      </x:c>
      <x:c r="V82" s="7" t="n">
        <x:v>803</x:v>
      </x:c>
      <x:c r="W82" s="7"/>
      <x:c r="X82" s="1" t="n">
        <x:v>0</x:v>
      </x:c>
      <x:c r="Y82" s="1" t="n">
        <x:v>0</x:v>
      </x:c>
      <x:c r="Z82" s="1" t="n">
        <x:v>0</x:v>
      </x:c>
      <x:c r="AA82" s="1" t="n">
        <x:v>0</x:v>
      </x:c>
      <x:c r="AB82" s="1" t="n">
        <x:v>0</x:v>
      </x:c>
      <x:c r="AC82" s="84"/>
      <x:c r="AD82" s="84"/>
      <x:c r="AE82" s="84"/>
      <x:c r="AF82" s="1" t="n">
        <x:v>1</x:v>
      </x:c>
      <x:c r="AG82" s="1" t="n">
        <x:v>3</x:v>
      </x:c>
      <x:c r="AH82" s="10" t="n">
        <x:v>46278.625</x:v>
      </x:c>
      <x:c r="AI82" s="1" t="str">
        <x:v>Chaves na Mão</x:v>
      </x:c>
      <x:c r="AJ82" s="1" t="str">
        <x:v>Avenida Mauro Ramos</x:v>
      </x:c>
      <x:c r="AK82" s="86" t="str">
        <x:v>https://www.chavesnamao.com.br/imovel/apartamento-a-venda-2-quartos-com-garagem-sc-florianopolis-centro-103m2-RS729000/id-35072430/</x:v>
      </x:c>
      <x:c r="AL82" s="1" t="str">
        <x:v>Somente anúncio; confirmar com fonte e vistoria</x:v>
      </x:c>
      <x:c r="AM82" s="1" t="str">
        <x:v>URL informa área total 103 m².</x:v>
      </x:c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</x:row>
    <x:row r="83">
      <x:c r="A83" s="1" t="str">
        <x:v>CNM-42678534</x:v>
      </x:c>
      <x:c r="B83" s="83" t="n">
        <x:v>1</x:v>
      </x:c>
      <x:c r="C83" s="1"/>
      <x:c r="D83" s="7" t="n">
        <x:v>750000</x:v>
      </x:c>
      <x:c r="E83" s="85" t="n">
        <x:f>IF(B83=1,D83,"")</x:f>
        <x:v>750000</x:v>
      </x:c>
      <x:c r="F83" s="8" t="n">
        <x:v>79</x:v>
      </x:c>
      <x:c r="G83" s="8"/>
      <x:c r="H83" s="85" t="n">
        <x:f>IF(AND(ISNUMBER(E83),ISNUMBER(F83),F83&gt;0),E83/F83,"")</x:f>
        <x:v>9493.67088607595</x:v>
      </x:c>
      <x:c r="I83" s="1" t="n">
        <x:v>2</x:v>
      </x:c>
      <x:c r="J83" s="1"/>
      <x:c r="K83" s="1"/>
      <x:c r="L83" s="1" t="n">
        <x:v>1</x:v>
      </x:c>
      <x:c r="M83" s="1"/>
      <x:c r="N83" s="1"/>
      <x:c r="O83" s="1"/>
      <x:c r="P83" s="1" t="n">
        <x:v>0</x:v>
      </x:c>
      <x:c r="Q83" s="1" t="n">
        <x:v>0</x:v>
      </x:c>
      <x:c r="R83" s="1" t="n">
        <x:v>0</x:v>
      </x:c>
      <x:c r="S83" s="1" t="n">
        <x:v>0</x:v>
      </x:c>
      <x:c r="T83" s="1" t="n">
        <x:v>0</x:v>
      </x:c>
      <x:c r="U83" s="1" t="n">
        <x:v>0</x:v>
      </x:c>
      <x:c r="V83" s="7" t="n">
        <x:v>600</x:v>
      </x:c>
      <x:c r="W83" s="7"/>
      <x:c r="X83" s="1" t="n">
        <x:v>0</x:v>
      </x:c>
      <x:c r="Y83" s="1" t="n">
        <x:v>0</x:v>
      </x:c>
      <x:c r="Z83" s="1" t="n">
        <x:v>0</x:v>
      </x:c>
      <x:c r="AA83" s="1" t="n">
        <x:v>0</x:v>
      </x:c>
      <x:c r="AB83" s="1" t="n">
        <x:v>0</x:v>
      </x:c>
      <x:c r="AC83" s="84"/>
      <x:c r="AD83" s="84"/>
      <x:c r="AE83" s="84"/>
      <x:c r="AF83" s="1" t="n">
        <x:v>1</x:v>
      </x:c>
      <x:c r="AG83" s="1" t="n">
        <x:v>3</x:v>
      </x:c>
      <x:c r="AH83" s="10" t="n">
        <x:v>46278.625</x:v>
      </x:c>
      <x:c r="AI83" s="1" t="str">
        <x:v>Chaves na Mão</x:v>
      </x:c>
      <x:c r="AJ83" s="1" t="str">
        <x:v>Rua Padre Roma, 241</x:v>
      </x:c>
      <x:c r="AK83" s="86" t="str">
        <x:v>https://www.chavesnamao.com.br/imovel/apartamento-a-venda-2-quartos-com-garagem-sc-florianopolis-centro-94m2-RS750000/id-42678534/</x:v>
      </x:c>
      <x:c r="AL83" s="1" t="str">
        <x:v>Somente anúncio; confirmar com fonte e vistoria</x:v>
      </x:c>
      <x:c r="AM83" s="1" t="str">
        <x:v>URL informa área total 94 m².</x:v>
      </x:c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</x:row>
    <x:row r="84">
      <x:c r="A84" s="1" t="str">
        <x:v>CNM-38502377</x:v>
      </x:c>
      <x:c r="B84" s="83" t="n">
        <x:v>1</x:v>
      </x:c>
      <x:c r="C84" s="1"/>
      <x:c r="D84" s="7" t="n">
        <x:v>1325000</x:v>
      </x:c>
      <x:c r="E84" s="85" t="n">
        <x:f>IF(B84=1,D84,"")</x:f>
        <x:v>1325000</x:v>
      </x:c>
      <x:c r="F84" s="8" t="n">
        <x:v>67</x:v>
      </x:c>
      <x:c r="G84" s="8"/>
      <x:c r="H84" s="85" t="n">
        <x:f>IF(AND(ISNUMBER(E84),ISNUMBER(F84),F84&gt;0),E84/F84,"")</x:f>
        <x:v>19776.119402985074</x:v>
      </x:c>
      <x:c r="I84" s="1" t="n">
        <x:v>2</x:v>
      </x:c>
      <x:c r="J84" s="1"/>
      <x:c r="K84" s="1" t="n">
        <x:v>2</x:v>
      </x:c>
      <x:c r="L84" s="1" t="n">
        <x:v>1</x:v>
      </x:c>
      <x:c r="M84" s="1"/>
      <x:c r="N84" s="1"/>
      <x:c r="O84" s="1"/>
      <x:c r="P84" s="1" t="n">
        <x:v>0</x:v>
      </x:c>
      <x:c r="Q84" s="1" t="n">
        <x:v>0</x:v>
      </x:c>
      <x:c r="R84" s="1" t="n">
        <x:v>0</x:v>
      </x:c>
      <x:c r="S84" s="1" t="n">
        <x:v>0</x:v>
      </x:c>
      <x:c r="T84" s="1" t="n">
        <x:v>0</x:v>
      </x:c>
      <x:c r="U84" s="1" t="n">
        <x:v>0</x:v>
      </x:c>
      <x:c r="V84" s="7" t="n">
        <x:v>646</x:v>
      </x:c>
      <x:c r="W84" s="7"/>
      <x:c r="X84" s="1" t="n">
        <x:v>0</x:v>
      </x:c>
      <x:c r="Y84" s="1" t="n">
        <x:v>0</x:v>
      </x:c>
      <x:c r="Z84" s="1" t="n">
        <x:v>0</x:v>
      </x:c>
      <x:c r="AA84" s="1" t="n">
        <x:v>0</x:v>
      </x:c>
      <x:c r="AB84" s="1" t="n">
        <x:v>0</x:v>
      </x:c>
      <x:c r="AC84" s="84"/>
      <x:c r="AD84" s="84"/>
      <x:c r="AE84" s="84"/>
      <x:c r="AF84" s="1" t="n">
        <x:v>1</x:v>
      </x:c>
      <x:c r="AG84" s="1" t="n">
        <x:v>3</x:v>
      </x:c>
      <x:c r="AH84" s="10" t="n">
        <x:v>46278.625</x:v>
      </x:c>
      <x:c r="AI84" s="1" t="str">
        <x:v>Chaves na Mão</x:v>
      </x:c>
      <x:c r="AJ84" s="1" t="str">
        <x:v>Rua Hermann Blumenau</x:v>
      </x:c>
      <x:c r="AK84" s="86" t="str">
        <x:v>https://www.chavesnamao.com.br/imovel/apartamento-a-venda-2-quartos-com-garagem-sc-florianopolis-centro-93m2-RS1325000/id-38502377/</x:v>
      </x:c>
      <x:c r="AL84" s="1" t="str">
        <x:v>Somente anúncio; confirmar com fonte e vistoria</x:v>
      </x:c>
      <x:c r="AM84" s="1" t="str">
        <x:v>URL informa área total 93 m².</x:v>
      </x:c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</x:row>
    <x:row r="85">
      <x:c r="A85" s="1" t="str">
        <x:v>CNM-45092268</x:v>
      </x:c>
      <x:c r="B85" s="83" t="n">
        <x:v>1</x:v>
      </x:c>
      <x:c r="C85" s="1"/>
      <x:c r="D85" s="7" t="n">
        <x:v>1550000</x:v>
      </x:c>
      <x:c r="E85" s="85" t="n">
        <x:f>IF(B85=1,D85,"")</x:f>
        <x:v>1550000</x:v>
      </x:c>
      <x:c r="F85" s="8" t="n">
        <x:v>80</x:v>
      </x:c>
      <x:c r="G85" s="8"/>
      <x:c r="H85" s="85" t="n">
        <x:f>IF(AND(ISNUMBER(E85),ISNUMBER(F85),F85&gt;0),E85/F85,"")</x:f>
        <x:v>19375</x:v>
      </x:c>
      <x:c r="I85" s="1" t="n">
        <x:v>2</x:v>
      </x:c>
      <x:c r="J85" s="1"/>
      <x:c r="K85" s="1" t="n">
        <x:v>2</x:v>
      </x:c>
      <x:c r="L85" s="1" t="n">
        <x:v>2</x:v>
      </x:c>
      <x:c r="M85" s="1"/>
      <x:c r="N85" s="1"/>
      <x:c r="O85" s="1"/>
      <x:c r="P85" s="1" t="n">
        <x:v>0</x:v>
      </x:c>
      <x:c r="Q85" s="1" t="n">
        <x:v>0</x:v>
      </x:c>
      <x:c r="R85" s="1" t="n">
        <x:v>0</x:v>
      </x:c>
      <x:c r="S85" s="1" t="n">
        <x:v>0</x:v>
      </x:c>
      <x:c r="T85" s="1" t="n">
        <x:v>0</x:v>
      </x:c>
      <x:c r="U85" s="1" t="n">
        <x:v>0</x:v>
      </x:c>
      <x:c r="V85" s="7" t="n">
        <x:v>1194</x:v>
      </x:c>
      <x:c r="W85" s="7"/>
      <x:c r="X85" s="1" t="n">
        <x:v>0</x:v>
      </x:c>
      <x:c r="Y85" s="1" t="n">
        <x:v>0</x:v>
      </x:c>
      <x:c r="Z85" s="1" t="n">
        <x:v>0</x:v>
      </x:c>
      <x:c r="AA85" s="1" t="n">
        <x:v>0</x:v>
      </x:c>
      <x:c r="AB85" s="1" t="n">
        <x:v>0</x:v>
      </x:c>
      <x:c r="AC85" s="84"/>
      <x:c r="AD85" s="84"/>
      <x:c r="AE85" s="84"/>
      <x:c r="AF85" s="1" t="n">
        <x:v>1</x:v>
      </x:c>
      <x:c r="AG85" s="1" t="n">
        <x:v>3</x:v>
      </x:c>
      <x:c r="AH85" s="10" t="n">
        <x:v>46278.625</x:v>
      </x:c>
      <x:c r="AI85" s="1" t="str">
        <x:v>Chaves na Mão</x:v>
      </x:c>
      <x:c r="AJ85" s="1" t="str">
        <x:v>Rua Brigadeiro Silva Paes</x:v>
      </x:c>
      <x:c r="AK85" s="86" t="str">
        <x:v>https://www.chavesnamao.com.br/imovel/apartamento-a-venda-2-quartos-com-garagem-sc-florianopolis-centro-80m2-RS1550000/id-45092268/</x:v>
      </x:c>
      <x:c r="AL85" s="1" t="str">
        <x:v>Somente anúncio; confirmar com fonte e vistoria</x:v>
      </x:c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</x:row>
    <x:row r="86">
      <x:c r="A86" s="1" t="str">
        <x:v>CNM-44235457</x:v>
      </x:c>
      <x:c r="B86" s="83" t="n">
        <x:v>1</x:v>
      </x:c>
      <x:c r="C86" s="1"/>
      <x:c r="D86" s="7" t="n">
        <x:v>630000</x:v>
      </x:c>
      <x:c r="E86" s="85" t="n">
        <x:f>IF(B86=1,D86,"")</x:f>
        <x:v>630000</x:v>
      </x:c>
      <x:c r="F86" s="8" t="n">
        <x:v>76</x:v>
      </x:c>
      <x:c r="G86" s="8"/>
      <x:c r="H86" s="85" t="n">
        <x:f>IF(AND(ISNUMBER(E86),ISNUMBER(F86),F86&gt;0),E86/F86,"")</x:f>
        <x:v>8289.473684210527</x:v>
      </x:c>
      <x:c r="I86" s="1" t="n">
        <x:v>2</x:v>
      </x:c>
      <x:c r="J86" s="1"/>
      <x:c r="K86" s="1" t="n">
        <x:v>1</x:v>
      </x:c>
      <x:c r="L86" s="1" t="n">
        <x:v>1</x:v>
      </x:c>
      <x:c r="M86" s="1"/>
      <x:c r="N86" s="1"/>
      <x:c r="O86" s="1"/>
      <x:c r="P86" s="1" t="n">
        <x:v>0</x:v>
      </x:c>
      <x:c r="Q86" s="1" t="n">
        <x:v>0</x:v>
      </x:c>
      <x:c r="R86" s="1" t="n">
        <x:v>0</x:v>
      </x:c>
      <x:c r="S86" s="1" t="n">
        <x:v>0</x:v>
      </x:c>
      <x:c r="T86" s="1" t="n">
        <x:v>0</x:v>
      </x:c>
      <x:c r="U86" s="1" t="n">
        <x:v>0</x:v>
      </x:c>
      <x:c r="V86" s="7" t="n">
        <x:v>1100</x:v>
      </x:c>
      <x:c r="W86" s="7"/>
      <x:c r="X86" s="1" t="n">
        <x:v>0</x:v>
      </x:c>
      <x:c r="Y86" s="1" t="n">
        <x:v>0</x:v>
      </x:c>
      <x:c r="Z86" s="1" t="n">
        <x:v>0</x:v>
      </x:c>
      <x:c r="AA86" s="1" t="n">
        <x:v>0</x:v>
      </x:c>
      <x:c r="AB86" s="1" t="n">
        <x:v>0</x:v>
      </x:c>
      <x:c r="AC86" s="84"/>
      <x:c r="AD86" s="84"/>
      <x:c r="AE86" s="84"/>
      <x:c r="AF86" s="1" t="n">
        <x:v>1</x:v>
      </x:c>
      <x:c r="AG86" s="1" t="n">
        <x:v>3</x:v>
      </x:c>
      <x:c r="AH86" s="10" t="n">
        <x:v>46278.625</x:v>
      </x:c>
      <x:c r="AI86" s="1" t="str">
        <x:v>Chaves na Mão</x:v>
      </x:c>
      <x:c r="AJ86" s="1" t="str">
        <x:v>Rua Visconde de Ouro Preto, 18</x:v>
      </x:c>
      <x:c r="AK86" s="86" t="str">
        <x:v>https://www.chavesnamao.com.br/imovel/apartamento-a-venda-2-quartos-com-garagem-sc-florianopolis-centro-100m2-RS630000/id-44235457/</x:v>
      </x:c>
      <x:c r="AL86" s="1" t="str">
        <x:v>Somente anúncio; confirmar com fonte e vistoria</x:v>
      </x:c>
      <x:c r="AM86" s="1" t="str">
        <x:v>URL informa área total 100 m².</x:v>
      </x:c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</x:row>
    <x:row r="87">
      <x:c r="A87" s="1" t="str">
        <x:v>CNM-40661919</x:v>
      </x:c>
      <x:c r="B87" s="83" t="n">
        <x:v>1</x:v>
      </x:c>
      <x:c r="C87" s="1"/>
      <x:c r="D87" s="7" t="n">
        <x:v>550000</x:v>
      </x:c>
      <x:c r="E87" s="85" t="n">
        <x:f>IF(B87=1,D87,"")</x:f>
        <x:v>550000</x:v>
      </x:c>
      <x:c r="F87" s="8" t="n">
        <x:v>72</x:v>
      </x:c>
      <x:c r="G87" s="8"/>
      <x:c r="H87" s="85" t="n">
        <x:f>IF(AND(ISNUMBER(E87),ISNUMBER(F87),F87&gt;0),E87/F87,"")</x:f>
        <x:v>7638.888888888889</x:v>
      </x:c>
      <x:c r="I87" s="1" t="n">
        <x:v>2</x:v>
      </x:c>
      <x:c r="J87" s="1"/>
      <x:c r="K87" s="1" t="n">
        <x:v>1</x:v>
      </x:c>
      <x:c r="L87" s="1" t="n">
        <x:v>0</x:v>
      </x:c>
      <x:c r="M87" s="1"/>
      <x:c r="N87" s="1"/>
      <x:c r="O87" s="1"/>
      <x:c r="P87" s="1" t="n">
        <x:v>0</x:v>
      </x:c>
      <x:c r="Q87" s="1" t="n">
        <x:v>0</x:v>
      </x:c>
      <x:c r="R87" s="1" t="n">
        <x:v>0</x:v>
      </x:c>
      <x:c r="S87" s="1" t="n">
        <x:v>0</x:v>
      </x:c>
      <x:c r="T87" s="1" t="n">
        <x:v>0</x:v>
      </x:c>
      <x:c r="U87" s="1" t="n">
        <x:v>0</x:v>
      </x:c>
      <x:c r="V87" s="7" t="n">
        <x:v>747</x:v>
      </x:c>
      <x:c r="W87" s="7"/>
      <x:c r="X87" s="1" t="n">
        <x:v>0</x:v>
      </x:c>
      <x:c r="Y87" s="1" t="n">
        <x:v>0</x:v>
      </x:c>
      <x:c r="Z87" s="1" t="n">
        <x:v>0</x:v>
      </x:c>
      <x:c r="AA87" s="1" t="n">
        <x:v>0</x:v>
      </x:c>
      <x:c r="AB87" s="1" t="n">
        <x:v>0</x:v>
      </x:c>
      <x:c r="AC87" s="84"/>
      <x:c r="AD87" s="84"/>
      <x:c r="AE87" s="84"/>
      <x:c r="AF87" s="1" t="n">
        <x:v>1</x:v>
      </x:c>
      <x:c r="AG87" s="1" t="n">
        <x:v>3</x:v>
      </x:c>
      <x:c r="AH87" s="10" t="n">
        <x:v>46278.625</x:v>
      </x:c>
      <x:c r="AI87" s="1" t="str">
        <x:v>Chaves na Mão</x:v>
      </x:c>
      <x:c r="AJ87" s="1" t="str">
        <x:v>Rua João Pinto, 30</x:v>
      </x:c>
      <x:c r="AK87" s="86" t="str">
        <x:v>https://www.chavesnamao.com.br/imovel/apartamento-a-venda-2-quartos-sc-florianopolis-centro-72m2-RS550000/id-40661919/</x:v>
      </x:c>
      <x:c r="AL87" s="1" t="str">
        <x:v>Somente anúncio; confirmar com fonte e vistoria</x:v>
      </x:c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</x:row>
    <x:row r="88">
      <x:c r="A88" s="1" t="str">
        <x:v>CNM-39747244</x:v>
      </x:c>
      <x:c r="B88" s="83" t="n">
        <x:v>1</x:v>
      </x:c>
      <x:c r="C88" s="1"/>
      <x:c r="D88" s="7" t="n">
        <x:v>1831982</x:v>
      </x:c>
      <x:c r="E88" s="85" t="n">
        <x:f>IF(B88=1,D88,"")</x:f>
        <x:v>1831982</x:v>
      </x:c>
      <x:c r="F88" s="8" t="n">
        <x:v>92</x:v>
      </x:c>
      <x:c r="G88" s="8"/>
      <x:c r="H88" s="85" t="n">
        <x:f>IF(AND(ISNUMBER(E88),ISNUMBER(F88),F88&gt;0),E88/F88,"")</x:f>
        <x:v>19912.847826086956</x:v>
      </x:c>
      <x:c r="I88" s="1" t="n">
        <x:v>2</x:v>
      </x:c>
      <x:c r="J88" s="1"/>
      <x:c r="K88" s="1" t="n">
        <x:v>3</x:v>
      </x:c>
      <x:c r="L88" s="1" t="n">
        <x:v>1</x:v>
      </x:c>
      <x:c r="M88" s="1"/>
      <x:c r="N88" s="1"/>
      <x:c r="O88" s="1"/>
      <x:c r="P88" s="1" t="n">
        <x:v>0</x:v>
      </x:c>
      <x:c r="Q88" s="1" t="n">
        <x:v>0</x:v>
      </x:c>
      <x:c r="R88" s="1" t="n">
        <x:v>0</x:v>
      </x:c>
      <x:c r="S88" s="1" t="n">
        <x:v>0</x:v>
      </x:c>
      <x:c r="T88" s="1" t="n">
        <x:v>0</x:v>
      </x:c>
      <x:c r="U88" s="1" t="n">
        <x:v>0</x:v>
      </x:c>
      <x:c r="V88" s="7"/>
      <x:c r="W88" s="7"/>
      <x:c r="X88" s="1" t="n">
        <x:v>0</x:v>
      </x:c>
      <x:c r="Y88" s="1" t="n">
        <x:v>0</x:v>
      </x:c>
      <x:c r="Z88" s="1" t="n">
        <x:v>0</x:v>
      </x:c>
      <x:c r="AA88" s="1" t="n">
        <x:v>0</x:v>
      </x:c>
      <x:c r="AB88" s="1" t="n">
        <x:v>0</x:v>
      </x:c>
      <x:c r="AC88" s="84"/>
      <x:c r="AD88" s="84"/>
      <x:c r="AE88" s="84"/>
      <x:c r="AF88" s="1" t="n">
        <x:v>1</x:v>
      </x:c>
      <x:c r="AG88" s="1" t="n">
        <x:v>3</x:v>
      </x:c>
      <x:c r="AH88" s="10" t="n">
        <x:v>46278.625</x:v>
      </x:c>
      <x:c r="AI88" s="1" t="str">
        <x:v>Chaves na Mão</x:v>
      </x:c>
      <x:c r="AJ88" s="1" t="str">
        <x:v>Rua Desembargador Urbano Salles, 99</x:v>
      </x:c>
      <x:c r="AK88" s="86" t="str">
        <x:v>https://www.chavesnamao.com.br/imovel/apartamento-a-venda-2-quartos-com-garagem-sc-florianopolis-centro-92m2-RS1831982/id-39747244/</x:v>
      </x:c>
      <x:c r="AL88" s="1" t="str">
        <x:v>Somente anúncio; confirmar com fonte e vistoria</x:v>
      </x:c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</x:row>
    <x:row r="89">
      <x:c r="A89" s="1" t="str">
        <x:v>CNM-44106864</x:v>
      </x:c>
      <x:c r="B89" s="83" t="n">
        <x:v>1</x:v>
      </x:c>
      <x:c r="C89" s="1"/>
      <x:c r="D89" s="7" t="n">
        <x:v>1150000</x:v>
      </x:c>
      <x:c r="E89" s="85" t="n">
        <x:f>IF(B89=1,D89,"")</x:f>
        <x:v>1150000</x:v>
      </x:c>
      <x:c r="F89" s="8" t="n">
        <x:v>68</x:v>
      </x:c>
      <x:c r="G89" s="8"/>
      <x:c r="H89" s="85" t="n">
        <x:f>IF(AND(ISNUMBER(E89),ISNUMBER(F89),F89&gt;0),E89/F89,"")</x:f>
        <x:v>16911.764705882353</x:v>
      </x:c>
      <x:c r="I89" s="1" t="n">
        <x:v>2</x:v>
      </x:c>
      <x:c r="J89" s="1" t="n">
        <x:v>1</x:v>
      </x:c>
      <x:c r="K89" s="1" t="n">
        <x:v>2</x:v>
      </x:c>
      <x:c r="L89" s="1" t="n">
        <x:v>2</x:v>
      </x:c>
      <x:c r="M89" s="1"/>
      <x:c r="N89" s="1"/>
      <x:c r="O89" s="1"/>
      <x:c r="P89" s="1" t="n">
        <x:v>0</x:v>
      </x:c>
      <x:c r="Q89" s="1" t="n">
        <x:v>0</x:v>
      </x:c>
      <x:c r="R89" s="1" t="n">
        <x:v>0</x:v>
      </x:c>
      <x:c r="S89" s="1" t="n">
        <x:v>0</x:v>
      </x:c>
      <x:c r="T89" s="1" t="n">
        <x:v>0</x:v>
      </x:c>
      <x:c r="U89" s="1" t="n">
        <x:v>0</x:v>
      </x:c>
      <x:c r="V89" s="7" t="n">
        <x:v>888</x:v>
      </x:c>
      <x:c r="W89" s="7"/>
      <x:c r="X89" s="1" t="n">
        <x:v>0</x:v>
      </x:c>
      <x:c r="Y89" s="1" t="n">
        <x:v>0</x:v>
      </x:c>
      <x:c r="Z89" s="1" t="n">
        <x:v>0</x:v>
      </x:c>
      <x:c r="AA89" s="1" t="n">
        <x:v>0</x:v>
      </x:c>
      <x:c r="AB89" s="1" t="n">
        <x:v>0</x:v>
      </x:c>
      <x:c r="AC89" s="84"/>
      <x:c r="AD89" s="84"/>
      <x:c r="AE89" s="84"/>
      <x:c r="AF89" s="1" t="n">
        <x:v>1</x:v>
      </x:c>
      <x:c r="AG89" s="1" t="n">
        <x:v>3</x:v>
      </x:c>
      <x:c r="AH89" s="10" t="n">
        <x:v>46278.625</x:v>
      </x:c>
      <x:c r="AI89" s="1" t="str">
        <x:v>Chaves na Mão</x:v>
      </x:c>
      <x:c r="AJ89" s="1" t="str">
        <x:v>Rua Hermann Blumenau, 121</x:v>
      </x:c>
      <x:c r="AK89" s="86" t="str">
        <x:v>https://www.chavesnamao.com.br/imovel/apartamento-a-venda-2-quartos-com-garagem-sc-florianopolis-centro-95m2-RS1150000/id-44106864/</x:v>
      </x:c>
      <x:c r="AL89" s="1" t="str">
        <x:v>Somente anúncio; confirmar com fonte e vistoria</x:v>
      </x:c>
      <x:c r="AM89" s="1" t="str">
        <x:v>URL informa área total 95 m².</x:v>
      </x:c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</x:row>
    <x:row r="90">
      <x:c r="A90" s="1" t="str">
        <x:v>CNM-43109740</x:v>
      </x:c>
      <x:c r="B90" s="83" t="n">
        <x:v>1</x:v>
      </x:c>
      <x:c r="C90" s="1"/>
      <x:c r="D90" s="7" t="n">
        <x:v>2000000</x:v>
      </x:c>
      <x:c r="E90" s="85" t="n">
        <x:f>IF(B90=1,D90,"")</x:f>
        <x:v>2000000</x:v>
      </x:c>
      <x:c r="F90" s="8" t="n">
        <x:v>97</x:v>
      </x:c>
      <x:c r="G90" s="8"/>
      <x:c r="H90" s="85" t="n">
        <x:f>IF(AND(ISNUMBER(E90),ISNUMBER(F90),F90&gt;0),E90/F90,"")</x:f>
        <x:v>20618.556701030928</x:v>
      </x:c>
      <x:c r="I90" s="1" t="n">
        <x:v>2</x:v>
      </x:c>
      <x:c r="J90" s="1" t="n">
        <x:v>2</x:v>
      </x:c>
      <x:c r="K90" s="1" t="n">
        <x:v>3</x:v>
      </x:c>
      <x:c r="L90" s="1" t="n">
        <x:v>1</x:v>
      </x:c>
      <x:c r="M90" s="1"/>
      <x:c r="N90" s="1"/>
      <x:c r="O90" s="1"/>
      <x:c r="P90" s="1" t="n">
        <x:v>0</x:v>
      </x:c>
      <x:c r="Q90" s="1" t="n">
        <x:v>0</x:v>
      </x:c>
      <x:c r="R90" s="1" t="n">
        <x:v>0</x:v>
      </x:c>
      <x:c r="S90" s="1" t="n">
        <x:v>0</x:v>
      </x:c>
      <x:c r="T90" s="1" t="n">
        <x:v>0</x:v>
      </x:c>
      <x:c r="U90" s="1" t="n">
        <x:v>0</x:v>
      </x:c>
      <x:c r="V90" s="7" t="n">
        <x:v>618</x:v>
      </x:c>
      <x:c r="W90" s="7"/>
      <x:c r="X90" s="1" t="n">
        <x:v>0</x:v>
      </x:c>
      <x:c r="Y90" s="1" t="n">
        <x:v>0</x:v>
      </x:c>
      <x:c r="Z90" s="1" t="n">
        <x:v>0</x:v>
      </x:c>
      <x:c r="AA90" s="1" t="n">
        <x:v>0</x:v>
      </x:c>
      <x:c r="AB90" s="1" t="n">
        <x:v>0</x:v>
      </x:c>
      <x:c r="AC90" s="84"/>
      <x:c r="AD90" s="84"/>
      <x:c r="AE90" s="84"/>
      <x:c r="AF90" s="1" t="n">
        <x:v>1</x:v>
      </x:c>
      <x:c r="AG90" s="1" t="n">
        <x:v>3</x:v>
      </x:c>
      <x:c r="AH90" s="10" t="n">
        <x:v>46278.625</x:v>
      </x:c>
      <x:c r="AI90" s="1" t="str">
        <x:v>Chaves na Mão</x:v>
      </x:c>
      <x:c r="AJ90" s="1" t="str">
        <x:v>Rua Hoepcke, 185</x:v>
      </x:c>
      <x:c r="AK90" s="86" t="str">
        <x:v>https://www.chavesnamao.com.br/imovel/apartamento-a-venda-2-quartos-com-garagem-sc-florianopolis-centro-127m2-RS2000000/id-43109740/</x:v>
      </x:c>
      <x:c r="AL90" s="1" t="str">
        <x:v>Somente anúncio; confirmar com fonte e vistoria</x:v>
      </x:c>
      <x:c r="AM90" s="1" t="str">
        <x:v>URL informa área total 127 m².</x:v>
      </x:c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</x:row>
    <x:row r="91">
      <x:c r="A91" s="1" t="str">
        <x:v>CNM-45010554</x:v>
      </x:c>
      <x:c r="B91" s="83" t="n">
        <x:v>1</x:v>
      </x:c>
      <x:c r="C91" s="1"/>
      <x:c r="D91" s="7" t="n">
        <x:v>999000</x:v>
      </x:c>
      <x:c r="E91" s="85" t="n">
        <x:f>IF(B91=1,D91,"")</x:f>
        <x:v>999000</x:v>
      </x:c>
      <x:c r="F91" s="8" t="n">
        <x:v>77</x:v>
      </x:c>
      <x:c r="G91" s="8"/>
      <x:c r="H91" s="85" t="n">
        <x:f>IF(AND(ISNUMBER(E91),ISNUMBER(F91),F91&gt;0),E91/F91,"")</x:f>
        <x:v>12974.025974025973</x:v>
      </x:c>
      <x:c r="I91" s="1" t="n">
        <x:v>2</x:v>
      </x:c>
      <x:c r="J91" s="1"/>
      <x:c r="K91" s="1" t="n">
        <x:v>1</x:v>
      </x:c>
      <x:c r="L91" s="1" t="n">
        <x:v>1</x:v>
      </x:c>
      <x:c r="M91" s="1"/>
      <x:c r="N91" s="1"/>
      <x:c r="O91" s="1"/>
      <x:c r="P91" s="1" t="n">
        <x:v>0</x:v>
      </x:c>
      <x:c r="Q91" s="1" t="n">
        <x:v>0</x:v>
      </x:c>
      <x:c r="R91" s="1" t="n">
        <x:v>0</x:v>
      </x:c>
      <x:c r="S91" s="1" t="n">
        <x:v>0</x:v>
      </x:c>
      <x:c r="T91" s="1" t="n">
        <x:v>0</x:v>
      </x:c>
      <x:c r="U91" s="1" t="n">
        <x:v>0</x:v>
      </x:c>
      <x:c r="V91" s="7" t="n">
        <x:v>1095</x:v>
      </x:c>
      <x:c r="W91" s="7"/>
      <x:c r="X91" s="1" t="n">
        <x:v>0</x:v>
      </x:c>
      <x:c r="Y91" s="1" t="n">
        <x:v>0</x:v>
      </x:c>
      <x:c r="Z91" s="1" t="n">
        <x:v>0</x:v>
      </x:c>
      <x:c r="AA91" s="1" t="n">
        <x:v>0</x:v>
      </x:c>
      <x:c r="AB91" s="1" t="n">
        <x:v>0</x:v>
      </x:c>
      <x:c r="AC91" s="84"/>
      <x:c r="AD91" s="84"/>
      <x:c r="AE91" s="84"/>
      <x:c r="AF91" s="1" t="n">
        <x:v>1</x:v>
      </x:c>
      <x:c r="AG91" s="1" t="n">
        <x:v>3</x:v>
      </x:c>
      <x:c r="AH91" s="10" t="n">
        <x:v>46278.625</x:v>
      </x:c>
      <x:c r="AI91" s="1" t="str">
        <x:v>Chaves na Mão</x:v>
      </x:c>
      <x:c r="AJ91" s="1" t="str">
        <x:v>Rua Almirante Lamego, 747</x:v>
      </x:c>
      <x:c r="AK91" s="86" t="str">
        <x:v>https://www.chavesnamao.com.br/imovel/apartamento-a-venda-2-quartos-com-garagem-sc-florianopolis-centro-101m2-RS999000/id-45010554/</x:v>
      </x:c>
      <x:c r="AL91" s="1" t="str">
        <x:v>Somente anúncio; confirmar com fonte e vistoria</x:v>
      </x:c>
      <x:c r="AM91" s="1" t="str">
        <x:v>URL informa área total 101 m².</x:v>
      </x:c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/>
      <x:c r="AR181" s="1"/>
      <x:c r="AS181" s="1"/>
      <x:c r="AT181" s="1"/>
      <x:c r="AU181" s="1"/>
      <x:c r="AV181" s="1"/>
      <x:c r="AW181" s="1"/>
      <x:c r="AX181" s="1"/>
      <x:c r="AY181" s="1"/>
      <x:c r="A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/>
      <x:c r="AR183" s="1"/>
      <x:c r="AS183" s="1"/>
      <x:c r="AT183" s="1"/>
      <x:c r="AU183" s="1"/>
      <x:c r="AV183" s="1"/>
      <x:c r="AW183" s="1"/>
      <x:c r="AX183" s="1"/>
      <x:c r="AY183" s="1"/>
      <x:c r="A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</x:row>
  </x:sheetData>
  <x:mergeCells>
    <x:mergeCell ref="A2:AE2"/>
    <x:mergeCell ref="A3:AE3"/>
  </x:mergeCells>
  <x:conditionalFormatting sqref="B5:B91">
    <x:cfRule type="cellIs" dxfId="2" priority="1" operator="equal">
      <x:formula>0</x:formula>
    </x:cfRule>
    <x:cfRule type="cellIs" dxfId="3" priority="2" operator="equal">
      <x:formula>1</x:formula>
    </x:cfRule>
  </x:conditionalFormatting>
  <x:dataValidations count="1">
    <x:dataValidation type="list" sqref="B5:B91">
      <x:formula1>"0,1"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2d7e9e7363a45ce"/>
  </x:tableParts>
</x:worksheet>
</file>

<file path=xl/worksheets/sheet4.xml><?xml version="1.0" encoding="utf-8"?>
<x:worksheet xmlns:x="http://schemas.openxmlformats.org/spreadsheetml/2006/main">
  <x:sheetPr>
    <x:tabColor rgb="FFA5A5A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18" hidden="0" customWidth="1"/>
    <x:col min="3" max="3" width="38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24" hidden="0" customWidth="1"/>
    <x:col min="9" max="9" width="2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2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24" hidden="0" customWidth="1"/>
    <x:col min="36" max="36" width="24" hidden="0" customWidth="1"/>
    <x:col min="37" max="37" width="2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>
      <x:c r="A2" s="81" t="str">
        <x:v>Amostras coletadas e rastreabilidade</x:v>
      </x:c>
      <x:c r="B2" s="81"/>
      <x:c r="C2" s="81"/>
      <x:c r="D2" s="81"/>
      <x:c r="E2" s="81"/>
      <x:c r="F2" s="81"/>
      <x:c r="G2" s="81"/>
      <x:c r="H2" s="81"/>
      <x:c r="I2" s="81"/>
      <x:c r="J2" s="81"/>
      <x:c r="K2" s="81"/>
      <x:c r="L2" s="81"/>
      <x:c r="M2" s="81"/>
      <x:c r="N2" s="81"/>
      <x:c r="O2" s="81"/>
      <x:c r="P2" s="81"/>
      <x:c r="Q2" s="81"/>
      <x:c r="R2" s="81"/>
      <x:c r="S2" s="81"/>
      <x:c r="T2" s="81"/>
      <x:c r="U2" s="81"/>
      <x:c r="V2" s="81"/>
      <x:c r="W2" s="81"/>
      <x:c r="X2" s="81"/>
      <x:c r="Y2" s="81"/>
      <x:c r="Z2" s="81"/>
      <x:c r="AA2" s="81"/>
      <x:c r="AB2" s="81"/>
      <x:c r="AC2" s="81"/>
      <x:c r="AD2" s="81"/>
      <x:c r="AE2" s="81"/>
      <x:c r="AF2" s="81"/>
      <x:c r="AG2" s="81"/>
      <x:c r="AH2" s="81"/>
      <x:c r="AI2" s="81"/>
      <x:c r="AJ2" s="8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</x:row>
    <x:row r="3">
      <x:c r="A3" s="82" t="str">
        <x:v>Todos os registros são ofertas publicadas em 13/09/2026. Campos ausentes permanecem em branco; exclusões preliminares não apagam a evidência.</x:v>
      </x:c>
      <x:c r="B3" s="82"/>
      <x:c r="C3" s="82"/>
      <x:c r="D3" s="82"/>
      <x:c r="E3" s="82"/>
      <x:c r="F3" s="82"/>
      <x:c r="G3" s="82"/>
      <x:c r="H3" s="82"/>
      <x:c r="I3" s="82"/>
      <x:c r="J3" s="82"/>
      <x:c r="K3" s="82"/>
      <x:c r="L3" s="82"/>
      <x:c r="M3" s="82"/>
      <x:c r="N3" s="82"/>
      <x:c r="O3" s="82"/>
      <x:c r="P3" s="82"/>
      <x:c r="Q3" s="82"/>
      <x:c r="R3" s="82"/>
      <x:c r="S3" s="82"/>
      <x:c r="T3" s="82"/>
      <x:c r="U3" s="82"/>
      <x:c r="V3" s="82"/>
      <x:c r="W3" s="82"/>
      <x:c r="X3" s="82"/>
      <x:c r="Y3" s="82"/>
      <x:c r="Z3" s="82"/>
      <x:c r="AA3" s="82"/>
      <x:c r="AB3" s="82"/>
      <x:c r="AC3" s="82"/>
      <x:c r="AD3" s="82"/>
      <x:c r="AE3" s="82"/>
      <x:c r="AF3" s="82"/>
      <x:c r="AG3" s="82"/>
      <x:c r="AH3" s="82"/>
      <x:c r="AI3" s="82"/>
      <x:c r="AJ3" s="82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</x:row>
    <x:row r="4" ht="38" customHeight="1">
      <x:c r="A4" s="6" t="str">
        <x:v>ID</x:v>
      </x:c>
      <x:c r="B4" s="6" t="str">
        <x:v>Fonte</x:v>
      </x:c>
      <x:c r="C4" s="6" t="str">
        <x:v>URL</x:v>
      </x:c>
      <x:c r="D4" s="6" t="str">
        <x:v>Data consulta</x:v>
      </x:c>
      <x:c r="E4" s="6" t="str">
        <x:v>Natureza do preço</x:v>
      </x:c>
      <x:c r="F4" s="6" t="str">
        <x:v>Situação</x:v>
      </x:c>
      <x:c r="G4" s="6" t="str">
        <x:v>Bairro</x:v>
      </x:c>
      <x:c r="H4" s="6" t="str">
        <x:v>Endereço</x:v>
      </x:c>
      <x:c r="I4" s="6" t="str">
        <x:v>Empreendimento</x:v>
      </x:c>
      <x:c r="J4" s="6" t="str">
        <x:v>Preço oferta (R$)</x:v>
      </x:c>
      <x:c r="K4" s="6" t="str">
        <x:v>Área privativa (m²)</x:v>
      </x:c>
      <x:c r="L4" s="6" t="str">
        <x:v>Área total (m²)</x:v>
      </x:c>
      <x:c r="M4" s="6" t="str">
        <x:v>Preço unitário (R$/m²)</x:v>
      </x:c>
      <x:c r="N4" s="6" t="str">
        <x:v>Dormitórios</x:v>
      </x:c>
      <x:c r="O4" s="6" t="str">
        <x:v>Suítes</x:v>
      </x:c>
      <x:c r="P4" s="6" t="str">
        <x:v>Banheiros</x:v>
      </x:c>
      <x:c r="Q4" s="6" t="str">
        <x:v>Vagas</x:v>
      </x:c>
      <x:c r="R4" s="6" t="str">
        <x:v>Condomínio (R$/mês)</x:v>
      </x:c>
      <x:c r="S4" s="6" t="str">
        <x:v>IPTU publicado (R$)</x:v>
      </x:c>
      <x:c r="T4" s="6" t="str">
        <x:v>Periodicidade IPTU</x:v>
      </x:c>
      <x:c r="U4" s="6" t="str">
        <x:v>IPTU anual normalizado (R$)</x:v>
      </x:c>
      <x:c r="V4" s="6" t="str">
        <x:v>Andar</x:v>
      </x:c>
      <x:c r="W4" s="6" t="str">
        <x:v>Elevador</x:v>
      </x:c>
      <x:c r="X4" s="6" t="str">
        <x:v>Estado/padrão publicado</x:v>
      </x:c>
      <x:c r="Y4" s="6" t="str">
        <x:v>Semi-mobiliado</x:v>
      </x:c>
      <x:c r="Z4" s="6" t="str">
        <x:v>Mobiliado total</x:v>
      </x:c>
      <x:c r="AA4" s="6" t="str">
        <x:v>Reformado</x:v>
      </x:c>
      <x:c r="AB4" s="6" t="str">
        <x:v>Alto padrão</x:v>
      </x:c>
      <x:c r="AC4" s="6" t="str">
        <x:v>Em construção</x:v>
      </x:c>
      <x:c r="AD4" s="6" t="str">
        <x:v>Vista mar</x:v>
      </x:c>
      <x:c r="AE4" s="6" t="str">
        <x:v>URL individual</x:v>
      </x:c>
      <x:c r="AF4" s="6" t="str">
        <x:v>Conflito publicado</x:v>
      </x:c>
      <x:c r="AG4" s="6" t="str">
        <x:v>Duplicidade provável</x:v>
      </x:c>
      <x:c r="AH4" s="6" t="str">
        <x:v>Incluir preliminar</x:v>
      </x:c>
      <x:c r="AI4" s="6" t="str">
        <x:v>Motivo de exclusão</x:v>
      </x:c>
      <x:c r="AJ4" s="6" t="str">
        <x:v>Confiabilidade</x:v>
      </x:c>
      <x:c r="AK4" s="6" t="str">
        <x:v>Observações</x:v>
      </x:c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</x:row>
    <x:row r="5">
      <x:c r="A5" s="16" t="str">
        <x:v>GR-39909</x:v>
      </x:c>
      <x:c r="B5" s="16" t="str">
        <x:v>Gralha Imóveis</x:v>
      </x:c>
      <x:c r="C5" s="17" t="str">
        <x:v>https://www.gralhaimoveis.com.br/imovel/venda%2Bapartamento%2B2-quartos%2Bcentro%2Bflorianopolis%2Bsc%2B78m2%2Brs595000/165136500</x:v>
      </x:c>
      <x:c r="D5" s="15" t="n">
        <x:v>46278.625</x:v>
      </x:c>
      <x:c r="E5" s="11" t="str">
        <x:v>Oferta</x:v>
      </x:c>
      <x:c r="F5" s="11" t="str">
        <x:v>Publicado na data da consulta</x:v>
      </x:c>
      <x:c r="G5" s="11" t="str">
        <x:v>Centro</x:v>
      </x:c>
      <x:c r="H5" s="11" t="str">
        <x:v>Rua Padre Roma, Condomínio Ayrton Ramalho</x:v>
      </x:c>
      <x:c r="I5" s="11"/>
      <x:c r="J5" s="12" t="n">
        <x:v>570000</x:v>
      </x:c>
      <x:c r="K5" s="13" t="n">
        <x:v>78.79</x:v>
      </x:c>
      <x:c r="L5" s="13" t="n">
        <x:v>89</x:v>
      </x:c>
      <x:c r="M5" s="12" t="n">
        <x:v>7234.42061175276</x:v>
      </x:c>
      <x:c r="N5" s="11" t="n">
        <x:v>2</x:v>
      </x:c>
      <x:c r="O5" s="11" t="n">
        <x:v>1</x:v>
      </x:c>
      <x:c r="P5" s="11" t="n">
        <x:v>2</x:v>
      </x:c>
      <x:c r="Q5" s="11" t="n">
        <x:v>0</x:v>
      </x:c>
      <x:c r="R5" s="12" t="n">
        <x:v>572</x:v>
      </x:c>
      <x:c r="S5" s="12" t="n">
        <x:v>230</x:v>
      </x:c>
      <x:c r="T5" s="12" t="str">
        <x:v>mensal</x:v>
      </x:c>
      <x:c r="U5" s="12" t="n">
        <x:v>2760</x:v>
      </x:c>
      <x:c r="V5" s="11"/>
      <x:c r="W5" s="11" t="str">
        <x:v>Sim</x:v>
      </x:c>
      <x:c r="X5" s="11" t="str">
        <x:v>Atualizado; portaria remota</x:v>
      </x:c>
      <x:c r="Y5" s="11" t="n">
        <x:v>0</x:v>
      </x:c>
      <x:c r="Z5" s="11" t="n">
        <x:v>0</x:v>
      </x:c>
      <x:c r="AA5" s="11" t="n">
        <x:v>1</x:v>
      </x:c>
      <x:c r="AB5" s="11" t="n">
        <x:v>0</x:v>
      </x:c>
      <x:c r="AC5" s="11" t="n">
        <x:v>0</x:v>
      </x:c>
      <x:c r="AD5" s="11" t="n">
        <x:v>0</x:v>
      </x:c>
      <x:c r="AE5" s="11" t="n">
        <x:v>1</x:v>
      </x:c>
      <x:c r="AF5" s="11" t="n">
        <x:v>1</x:v>
      </x:c>
      <x:c r="AG5" s="11"/>
      <x:c r="AH5" s="11" t="n">
        <x:v>0</x:v>
      </x:c>
      <x:c r="AI5" s="11" t="str">
        <x:v>conflito relevante no anúncio</x:v>
      </x:c>
      <x:c r="AJ5" s="11" t="str">
        <x:v>Somente anúncio; confirmar com fonte e vistoria</x:v>
      </x:c>
      <x:c r="AK5" s="11" t="str">
        <x:v>Página direta exibia R$ 570.000 na consulta; slug ainda contém R$ 595.000. Conferir preço.</x:v>
      </x:c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</x:row>
    <x:row r="6">
      <x:c r="A6" s="16" t="str">
        <x:v>GR-34953</x:v>
      </x:c>
      <x:c r="B6" s="16" t="str">
        <x:v>Gralha Imóveis</x:v>
      </x:c>
      <x:c r="C6" s="17" t="str">
        <x:v>https://www.gralhaimoveis.com.br/imovel/venda%2Bapartamento%2B3-quartos%2Bcentro%2Bflorianopolis%2Bsc%2B80m2%2Brs800000/165133255</x:v>
      </x:c>
      <x:c r="D6" s="15" t="n">
        <x:v>46278.625</x:v>
      </x:c>
      <x:c r="E6" s="11" t="str">
        <x:v>Oferta</x:v>
      </x:c>
      <x:c r="F6" s="11" t="str">
        <x:v>Publicado na data da consulta</x:v>
      </x:c>
      <x:c r="G6" s="11" t="str">
        <x:v>Centro</x:v>
      </x:c>
      <x:c r="H6" s="11" t="str">
        <x:v>Rua General Bittencourt</x:v>
      </x:c>
      <x:c r="I6" s="11"/>
      <x:c r="J6" s="12" t="n">
        <x:v>815000</x:v>
      </x:c>
      <x:c r="K6" s="13" t="n">
        <x:v>80.28</x:v>
      </x:c>
      <x:c r="L6" s="13" t="n">
        <x:v>125</x:v>
      </x:c>
      <x:c r="M6" s="12" t="n">
        <x:v>10151.968111609367</x:v>
      </x:c>
      <x:c r="N6" s="11" t="n">
        <x:v>3</x:v>
      </x:c>
      <x:c r="O6" s="11" t="n">
        <x:v>1</x:v>
      </x:c>
      <x:c r="P6" s="11" t="n">
        <x:v>2</x:v>
      </x:c>
      <x:c r="Q6" s="11" t="n">
        <x:v>1</x:v>
      </x:c>
      <x:c r="R6" s="12" t="n">
        <x:v>1403</x:v>
      </x:c>
      <x:c r="S6" s="12" t="n">
        <x:v>152</x:v>
      </x:c>
      <x:c r="T6" s="12" t="str">
        <x:v>mensal</x:v>
      </x:c>
      <x:c r="U6" s="12" t="n">
        <x:v>1824</x:v>
      </x:c>
      <x:c r="V6" s="11"/>
      <x:c r="W6" s="11" t="str">
        <x:v>Sim</x:v>
      </x:c>
      <x:c r="X6" s="11"/>
      <x:c r="Y6" s="11" t="n">
        <x:v>0</x:v>
      </x:c>
      <x:c r="Z6" s="11" t="n">
        <x:v>0</x:v>
      </x:c>
      <x:c r="AA6" s="11" t="n">
        <x:v>0</x:v>
      </x:c>
      <x:c r="AB6" s="11" t="n">
        <x:v>0</x:v>
      </x:c>
      <x:c r="AC6" s="11" t="n">
        <x:v>0</x:v>
      </x:c>
      <x:c r="AD6" s="11" t="n">
        <x:v>0</x:v>
      </x:c>
      <x:c r="AE6" s="11" t="n">
        <x:v>1</x:v>
      </x:c>
      <x:c r="AF6" s="11" t="n">
        <x:v>0</x:v>
      </x:c>
      <x:c r="AG6" s="11"/>
      <x:c r="AH6" s="11" t="n">
        <x:v>1</x:v>
      </x:c>
      <x:c r="AI6" s="11"/>
      <x:c r="AJ6" s="11" t="str">
        <x:v>Somente anúncio; confirmar com fonte e vistoria</x:v>
      </x:c>
      <x:c r="AK6" s="11" t="str">
        <x:v>Piscina informada.</x:v>
      </x:c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</x:row>
    <x:row r="7">
      <x:c r="A7" s="16" t="str">
        <x:v>GR-40294</x:v>
      </x:c>
      <x:c r="B7" s="16" t="str">
        <x:v>Gralha Imóveis</x:v>
      </x:c>
      <x:c r="C7" s="17" t="str">
        <x:v>https://www.gralhaimoveis.com.br/imovel/venda%2Bapartamento%2B3-quartos%2Bcentro%2Bflorianopolis%2Bsc%2B108m2%2Brs1300000/165136798</x:v>
      </x:c>
      <x:c r="D7" s="15" t="n">
        <x:v>46278.625</x:v>
      </x:c>
      <x:c r="E7" s="11" t="str">
        <x:v>Oferta</x:v>
      </x:c>
      <x:c r="F7" s="11" t="str">
        <x:v>Publicado na data da consulta</x:v>
      </x:c>
      <x:c r="G7" s="11" t="str">
        <x:v>Centro</x:v>
      </x:c>
      <x:c r="H7" s="11"/>
      <x:c r="I7" s="11"/>
      <x:c r="J7" s="12" t="n">
        <x:v>1300000</x:v>
      </x:c>
      <x:c r="K7" s="13" t="n">
        <x:v>108</x:v>
      </x:c>
      <x:c r="L7" s="13" t="n">
        <x:v>134</x:v>
      </x:c>
      <x:c r="M7" s="12" t="n">
        <x:v>12037.037037037036</x:v>
      </x:c>
      <x:c r="N7" s="11" t="n">
        <x:v>3</x:v>
      </x:c>
      <x:c r="O7" s="11" t="n">
        <x:v>1</x:v>
      </x:c>
      <x:c r="P7" s="11" t="n">
        <x:v>2</x:v>
      </x:c>
      <x:c r="Q7" s="11" t="n">
        <x:v>2</x:v>
      </x:c>
      <x:c r="R7" s="12" t="n">
        <x:v>925</x:v>
      </x:c>
      <x:c r="S7" s="12" t="n">
        <x:v>131</x:v>
      </x:c>
      <x:c r="T7" s="12" t="str">
        <x:v>mensal</x:v>
      </x:c>
      <x:c r="U7" s="12" t="n">
        <x:v>1572</x:v>
      </x:c>
      <x:c r="V7" s="11"/>
      <x:c r="W7" s="11"/>
      <x:c r="X7" s="11" t="str">
        <x:v>Terceiro dormitório convertido em closet</x:v>
      </x:c>
      <x:c r="Y7" s="11" t="n">
        <x:v>0</x:v>
      </x:c>
      <x:c r="Z7" s="11" t="n">
        <x:v>0</x:v>
      </x:c>
      <x:c r="AA7" s="11" t="n">
        <x:v>0</x:v>
      </x:c>
      <x:c r="AB7" s="11" t="n">
        <x:v>0</x:v>
      </x:c>
      <x:c r="AC7" s="11" t="n">
        <x:v>0</x:v>
      </x:c>
      <x:c r="AD7" s="11" t="n">
        <x:v>0</x:v>
      </x:c>
      <x:c r="AE7" s="11" t="n">
        <x:v>1</x:v>
      </x:c>
      <x:c r="AF7" s="11" t="n">
        <x:v>0</x:v>
      </x:c>
      <x:c r="AG7" s="11"/>
      <x:c r="AH7" s="11" t="n">
        <x:v>1</x:v>
      </x:c>
      <x:c r="AI7" s="11"/>
      <x:c r="AJ7" s="11" t="str">
        <x:v>Somente anúncio; confirmar com fonte e vistoria</x:v>
      </x:c>
      <x:c r="AK7" s="11" t="str">
        <x:v>Dependência convertida em escritório.</x:v>
      </x:c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</x:row>
    <x:row r="8">
      <x:c r="A8" s="16" t="str">
        <x:v>GR-41221</x:v>
      </x:c>
      <x:c r="B8" s="16" t="str">
        <x:v>Gralha Imóveis</x:v>
      </x:c>
      <x:c r="C8" s="17" t="str">
        <x:v>https://www.gralhaimoveis.com.br/imovel/venda%2Bapartamento%2B4-quartos%2Bcentro%2Bflorianopolis%2Bsc%2B133m2%2Brs1070000/165137549</x:v>
      </x:c>
      <x:c r="D8" s="15" t="n">
        <x:v>46278.625</x:v>
      </x:c>
      <x:c r="E8" s="11" t="str">
        <x:v>Oferta</x:v>
      </x:c>
      <x:c r="F8" s="11" t="str">
        <x:v>Publicado na data da consulta</x:v>
      </x:c>
      <x:c r="G8" s="11" t="str">
        <x:v>Centro</x:v>
      </x:c>
      <x:c r="H8" s="11" t="str">
        <x:v>Rua Almirante Lamego</x:v>
      </x:c>
      <x:c r="I8" s="11"/>
      <x:c r="J8" s="12" t="n">
        <x:v>1070000</x:v>
      </x:c>
      <x:c r="K8" s="13" t="n">
        <x:v>133</x:v>
      </x:c>
      <x:c r="L8" s="13" t="n">
        <x:v>145</x:v>
      </x:c>
      <x:c r="M8" s="12" t="n">
        <x:v>8045.112781954887</x:v>
      </x:c>
      <x:c r="N8" s="11" t="n">
        <x:v>4</x:v>
      </x:c>
      <x:c r="O8" s="11" t="n">
        <x:v>1</x:v>
      </x:c>
      <x:c r="P8" s="11" t="n">
        <x:v>2</x:v>
      </x:c>
      <x:c r="Q8" s="11" t="n">
        <x:v>1</x:v>
      </x:c>
      <x:c r="R8" s="12" t="n">
        <x:v>825</x:v>
      </x:c>
      <x:c r="S8" s="12" t="n">
        <x:v>397</x:v>
      </x:c>
      <x:c r="T8" s="12" t="str">
        <x:v>mensal</x:v>
      </x:c>
      <x:c r="U8" s="12" t="n">
        <x:v>4764</x:v>
      </x:c>
      <x:c r="V8" s="11" t="n">
        <x:v>3</x:v>
      </x:c>
      <x:c r="W8" s="11" t="str">
        <x:v>Não</x:v>
      </x:c>
      <x:c r="X8" s="11" t="str">
        <x:v>Mobiliado</x:v>
      </x:c>
      <x:c r="Y8" s="11" t="n">
        <x:v>0</x:v>
      </x:c>
      <x:c r="Z8" s="11" t="n">
        <x:v>1</x:v>
      </x:c>
      <x:c r="AA8" s="11" t="n">
        <x:v>0</x:v>
      </x:c>
      <x:c r="AB8" s="11" t="n">
        <x:v>0</x:v>
      </x:c>
      <x:c r="AC8" s="11" t="n">
        <x:v>0</x:v>
      </x:c>
      <x:c r="AD8" s="11" t="n">
        <x:v>0</x:v>
      </x:c>
      <x:c r="AE8" s="11" t="n">
        <x:v>1</x:v>
      </x:c>
      <x:c r="AF8" s="11" t="n">
        <x:v>0</x:v>
      </x:c>
      <x:c r="AG8" s="11"/>
      <x:c r="AH8" s="11" t="n">
        <x:v>1</x:v>
      </x:c>
      <x:c r="AI8" s="11"/>
      <x:c r="AJ8" s="11" t="str">
        <x:v>Somente anúncio; confirmar com fonte e vistoria</x:v>
      </x:c>
      <x:c r="AK8" s="11" t="str">
        <x:v>Edifício sem elevador.</x:v>
      </x:c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</x:row>
    <x:row r="9">
      <x:c r="A9" s="16" t="str">
        <x:v>GR-41980</x:v>
      </x:c>
      <x:c r="B9" s="16" t="str">
        <x:v>Gralha Imóveis</x:v>
      </x:c>
      <x:c r="C9" s="17" t="str">
        <x:v>https://www.gralhaimoveis.com.br/imovel/venda%2Bapartamento%2B2-quartos%2Bcentro%2Bflorianopolis%2Bsc%2B67m2%2Brs1000000/165138081</x:v>
      </x:c>
      <x:c r="D9" s="15" t="n">
        <x:v>46278.625</x:v>
      </x:c>
      <x:c r="E9" s="11" t="str">
        <x:v>Oferta</x:v>
      </x:c>
      <x:c r="F9" s="11" t="str">
        <x:v>Publicado na data da consulta</x:v>
      </x:c>
      <x:c r="G9" s="11" t="str">
        <x:v>Centro</x:v>
      </x:c>
      <x:c r="H9" s="11" t="str">
        <x:v>Avenida Mauro Ramos</x:v>
      </x:c>
      <x:c r="I9" s="11"/>
      <x:c r="J9" s="12" t="n">
        <x:v>1000000</x:v>
      </x:c>
      <x:c r="K9" s="13" t="n">
        <x:v>67</x:v>
      </x:c>
      <x:c r="L9" s="13" t="n">
        <x:v>100</x:v>
      </x:c>
      <x:c r="M9" s="12" t="n">
        <x:v>14925.373134328358</x:v>
      </x:c>
      <x:c r="N9" s="11" t="n">
        <x:v>2</x:v>
      </x:c>
      <x:c r="O9" s="11" t="n">
        <x:v>1</x:v>
      </x:c>
      <x:c r="P9" s="11" t="n">
        <x:v>2</x:v>
      </x:c>
      <x:c r="Q9" s="11" t="n">
        <x:v>2</x:v>
      </x:c>
      <x:c r="R9" s="12" t="n">
        <x:v>994</x:v>
      </x:c>
      <x:c r="S9" s="12" t="n">
        <x:v>120</x:v>
      </x:c>
      <x:c r="T9" s="12" t="str">
        <x:v>mensal</x:v>
      </x:c>
      <x:c r="U9" s="12" t="n">
        <x:v>1440</x:v>
      </x:c>
      <x:c r="V9" s="11" t="str">
        <x:v>alto</x:v>
      </x:c>
      <x:c r="W9" s="11" t="str">
        <x:v>Sim</x:v>
      </x:c>
      <x:c r="X9" s="11" t="str">
        <x:v>Mobiliado</x:v>
      </x:c>
      <x:c r="Y9" s="11" t="n">
        <x:v>0</x:v>
      </x:c>
      <x:c r="Z9" s="11" t="n">
        <x:v>1</x:v>
      </x:c>
      <x:c r="AA9" s="11" t="n">
        <x:v>0</x:v>
      </x:c>
      <x:c r="AB9" s="11" t="n">
        <x:v>0</x:v>
      </x:c>
      <x:c r="AC9" s="11" t="n">
        <x:v>0</x:v>
      </x:c>
      <x:c r="AD9" s="11" t="n">
        <x:v>0</x:v>
      </x:c>
      <x:c r="AE9" s="11" t="n">
        <x:v>1</x:v>
      </x:c>
      <x:c r="AF9" s="11" t="n">
        <x:v>0</x:v>
      </x:c>
      <x:c r="AG9" s="11"/>
      <x:c r="AH9" s="11" t="n">
        <x:v>1</x:v>
      </x:c>
      <x:c r="AI9" s="11"/>
      <x:c r="AJ9" s="11" t="str">
        <x:v>Somente anúncio; confirmar com fonte e vistoria</x:v>
      </x:c>
      <x:c r="AK9" s="1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</x:row>
    <x:row r="10">
      <x:c r="A10" s="16" t="str">
        <x:v>GR-25505</x:v>
      </x:c>
      <x:c r="B10" s="16" t="str">
        <x:v>Gralha Imóveis</x:v>
      </x:c>
      <x:c r="C10" s="17" t="str">
        <x:v>https://www.gralhaimoveis.com.br/imovel/venda%2Bapartamento%2B2-quartos%2Bcentro%2Bflorianopolis%2Bsc%2B101m2%2Brs2850000/165124768</x:v>
      </x:c>
      <x:c r="D10" s="15" t="n">
        <x:v>46278.625</x:v>
      </x:c>
      <x:c r="E10" s="11" t="str">
        <x:v>Oferta</x:v>
      </x:c>
      <x:c r="F10" s="11" t="str">
        <x:v>Publicado na data da consulta</x:v>
      </x:c>
      <x:c r="G10" s="11" t="str">
        <x:v>Centro</x:v>
      </x:c>
      <x:c r="H10" s="11" t="str">
        <x:v>Rua Duarte Schutel</x:v>
      </x:c>
      <x:c r="I10" s="11"/>
      <x:c r="J10" s="12" t="n">
        <x:v>2850000</x:v>
      </x:c>
      <x:c r="K10" s="13" t="n">
        <x:v>101</x:v>
      </x:c>
      <x:c r="L10" s="13" t="n">
        <x:v>137</x:v>
      </x:c>
      <x:c r="M10" s="12" t="n">
        <x:v>28217.821782178216</x:v>
      </x:c>
      <x:c r="N10" s="11" t="n">
        <x:v>2</x:v>
      </x:c>
      <x:c r="O10" s="11" t="n">
        <x:v>1</x:v>
      </x:c>
      <x:c r="P10" s="11" t="n">
        <x:v>2</x:v>
      </x:c>
      <x:c r="Q10" s="11" t="n">
        <x:v>2</x:v>
      </x:c>
      <x:c r="R10" s="12" t="n">
        <x:v>1180</x:v>
      </x:c>
      <x:c r="S10" s="12" t="n">
        <x:v>148</x:v>
      </x:c>
      <x:c r="T10" s="12" t="str">
        <x:v>mensal</x:v>
      </x:c>
      <x:c r="U10" s="12" t="n">
        <x:v>1776</x:v>
      </x:c>
      <x:c r="V10" s="11"/>
      <x:c r="W10" s="11" t="str">
        <x:v>Sim</x:v>
      </x:c>
      <x:c r="X10" s="11" t="str">
        <x:v>Mobiliado</x:v>
      </x:c>
      <x:c r="Y10" s="11" t="n">
        <x:v>0</x:v>
      </x:c>
      <x:c r="Z10" s="11" t="n">
        <x:v>1</x:v>
      </x:c>
      <x:c r="AA10" s="11" t="n">
        <x:v>0</x:v>
      </x:c>
      <x:c r="AB10" s="11" t="n">
        <x:v>0</x:v>
      </x:c>
      <x:c r="AC10" s="11" t="n">
        <x:v>0</x:v>
      </x:c>
      <x:c r="AD10" s="11" t="n">
        <x:v>0</x:v>
      </x:c>
      <x:c r="AE10" s="11" t="n">
        <x:v>1</x:v>
      </x:c>
      <x:c r="AF10" s="11" t="n">
        <x:v>0</x:v>
      </x:c>
      <x:c r="AG10" s="11"/>
      <x:c r="AH10" s="11" t="n">
        <x:v>1</x:v>
      </x:c>
      <x:c r="AI10" s="11"/>
      <x:c r="AJ10" s="11" t="str">
        <x:v>Somente anúncio; confirmar com fonte e vistoria</x:v>
      </x:c>
      <x:c r="AK10" s="1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</x:row>
    <x:row r="11">
      <x:c r="A11" s="16" t="str">
        <x:v>GR-41285</x:v>
      </x:c>
      <x:c r="B11" s="16" t="str">
        <x:v>Gralha Imóveis</x:v>
      </x:c>
      <x:c r="C11" s="17" t="str">
        <x:v>https://www.gralhaimoveis.com.br/imovel/venda%2Bapartamento%2B3-quartos%2Bcentro%2Bflorianopolis%2Bsc%2B109m2%2Brs2100000/165137517</x:v>
      </x:c>
      <x:c r="D11" s="15" t="n">
        <x:v>46278.625</x:v>
      </x:c>
      <x:c r="E11" s="11" t="str">
        <x:v>Oferta</x:v>
      </x:c>
      <x:c r="F11" s="11" t="str">
        <x:v>Publicado na data da consulta</x:v>
      </x:c>
      <x:c r="G11" s="11" t="str">
        <x:v>Centro</x:v>
      </x:c>
      <x:c r="H11" s="11" t="str">
        <x:v>Rua Presidente Coutinho</x:v>
      </x:c>
      <x:c r="I11" s="11"/>
      <x:c r="J11" s="12" t="n">
        <x:v>2100000</x:v>
      </x:c>
      <x:c r="K11" s="13" t="n">
        <x:v>109</x:v>
      </x:c>
      <x:c r="L11" s="13" t="n">
        <x:v>190</x:v>
      </x:c>
      <x:c r="M11" s="12" t="n">
        <x:v>19266.05504587156</x:v>
      </x:c>
      <x:c r="N11" s="11" t="n">
        <x:v>3</x:v>
      </x:c>
      <x:c r="O11" s="11" t="n">
        <x:v>3</x:v>
      </x:c>
      <x:c r="P11" s="11" t="n">
        <x:v>4</x:v>
      </x:c>
      <x:c r="Q11" s="11" t="n">
        <x:v>2</x:v>
      </x:c>
      <x:c r="R11" s="12"/>
      <x:c r="S11" s="12"/>
      <x:c r="T11" s="12"/>
      <x:c r="U11" s="12"/>
      <x:c r="V11" s="11"/>
      <x:c r="W11" s="11" t="str">
        <x:v>Sim</x:v>
      </x:c>
      <x:c r="X11" s="11" t="str">
        <x:v>Em fase final de construção</x:v>
      </x:c>
      <x:c r="Y11" s="11" t="n">
        <x:v>0</x:v>
      </x:c>
      <x:c r="Z11" s="11" t="n">
        <x:v>0</x:v>
      </x:c>
      <x:c r="AA11" s="11" t="n">
        <x:v>0</x:v>
      </x:c>
      <x:c r="AB11" s="11" t="n">
        <x:v>0</x:v>
      </x:c>
      <x:c r="AC11" s="11" t="n">
        <x:v>1</x:v>
      </x:c>
      <x:c r="AD11" s="11" t="n">
        <x:v>0</x:v>
      </x:c>
      <x:c r="AE11" s="11" t="n">
        <x:v>1</x:v>
      </x:c>
      <x:c r="AF11" s="11" t="n">
        <x:v>0</x:v>
      </x:c>
      <x:c r="AG11" s="11"/>
      <x:c r="AH11" s="11" t="n">
        <x:v>0</x:v>
      </x:c>
      <x:c r="AI11" s="11" t="str">
        <x:v>lançamento/construção ou preço de custo</x:v>
      </x:c>
      <x:c r="AJ11" s="11" t="str">
        <x:v>Somente anúncio; confirmar com fonte e vistoria</x:v>
      </x:c>
      <x:c r="AK11" s="11" t="str">
        <x:v>SPE/preço de custo; tratar separadamente de usados prontos.</x:v>
      </x:c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</x:row>
    <x:row r="12">
      <x:c r="A12" s="16" t="str">
        <x:v>GR-21457</x:v>
      </x:c>
      <x:c r="B12" s="16" t="str">
        <x:v>Gralha Imóveis</x:v>
      </x:c>
      <x:c r="C12" s="17" t="str">
        <x:v>https://www.gralhaimoveis.com.br/imovel/venda%2Bapartamento%2B4-quartos%2Bcentro%2Bflorianopolis%2Bsc%2B129m2%2Brs1790000/165121682</x:v>
      </x:c>
      <x:c r="D12" s="15" t="n">
        <x:v>46278.625</x:v>
      </x:c>
      <x:c r="E12" s="11" t="str">
        <x:v>Oferta</x:v>
      </x:c>
      <x:c r="F12" s="11" t="str">
        <x:v>Publicado na data da consulta</x:v>
      </x:c>
      <x:c r="G12" s="11" t="str">
        <x:v>Centro</x:v>
      </x:c>
      <x:c r="H12" s="11" t="str">
        <x:v>Rua Madalena Barbi</x:v>
      </x:c>
      <x:c r="I12" s="11"/>
      <x:c r="J12" s="12" t="n">
        <x:v>2150000</x:v>
      </x:c>
      <x:c r="K12" s="13" t="n">
        <x:v>129.36</x:v>
      </x:c>
      <x:c r="L12" s="13" t="n">
        <x:v>165</x:v>
      </x:c>
      <x:c r="M12" s="12" t="n">
        <x:v>16620.284477427333</x:v>
      </x:c>
      <x:c r="N12" s="11" t="n">
        <x:v>4</x:v>
      </x:c>
      <x:c r="O12" s="11" t="n">
        <x:v>2</x:v>
      </x:c>
      <x:c r="P12" s="11" t="n">
        <x:v>3</x:v>
      </x:c>
      <x:c r="Q12" s="11" t="n">
        <x:v>2</x:v>
      </x:c>
      <x:c r="R12" s="12" t="n">
        <x:v>2576</x:v>
      </x:c>
      <x:c r="S12" s="12" t="n">
        <x:v>522</x:v>
      </x:c>
      <x:c r="T12" s="12" t="str">
        <x:v>mensal</x:v>
      </x:c>
      <x:c r="U12" s="12" t="n">
        <x:v>6264</x:v>
      </x:c>
      <x:c r="V12" s="11"/>
      <x:c r="W12" s="11" t="str">
        <x:v>Sim</x:v>
      </x:c>
      <x:c r="X12" s="11" t="str">
        <x:v>Mobiliado</x:v>
      </x:c>
      <x:c r="Y12" s="11" t="n">
        <x:v>0</x:v>
      </x:c>
      <x:c r="Z12" s="11" t="n">
        <x:v>1</x:v>
      </x:c>
      <x:c r="AA12" s="11" t="n">
        <x:v>0</x:v>
      </x:c>
      <x:c r="AB12" s="11" t="n">
        <x:v>0</x:v>
      </x:c>
      <x:c r="AC12" s="11" t="n">
        <x:v>0</x:v>
      </x:c>
      <x:c r="AD12" s="11" t="n">
        <x:v>0</x:v>
      </x:c>
      <x:c r="AE12" s="11" t="n">
        <x:v>1</x:v>
      </x:c>
      <x:c r="AF12" s="11" t="n">
        <x:v>1</x:v>
      </x:c>
      <x:c r="AG12" s="11"/>
      <x:c r="AH12" s="11" t="n">
        <x:v>0</x:v>
      </x:c>
      <x:c r="AI12" s="11" t="str">
        <x:v>conflito relevante no anúncio</x:v>
      </x:c>
      <x:c r="AJ12" s="11" t="str">
        <x:v>Somente anúncio; confirmar com fonte e vistoria</x:v>
      </x:c>
      <x:c r="AK12" s="11" t="str">
        <x:v>Slug contém R$ 1.790.000; página exibia R$ 2.150.000 na consulta. Vista panorâmica.</x:v>
      </x:c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</x:row>
    <x:row r="13">
      <x:c r="A13" s="16" t="str">
        <x:v>GR-32875</x:v>
      </x:c>
      <x:c r="B13" s="16" t="str">
        <x:v>Gralha Imóveis</x:v>
      </x:c>
      <x:c r="C13" s="17" t="str">
        <x:v>https://www.gralhaimoveis.com.br/imovel/venda%2Bapartamento%2B3-quartos%2Bcentro%2Bflorianopolis%2Bsc%2B140m2%2Brs4150000/165130887</x:v>
      </x:c>
      <x:c r="D13" s="15" t="n">
        <x:v>46278.625</x:v>
      </x:c>
      <x:c r="E13" s="11" t="str">
        <x:v>Oferta</x:v>
      </x:c>
      <x:c r="F13" s="11" t="str">
        <x:v>Publicado na data da consulta</x:v>
      </x:c>
      <x:c r="G13" s="11" t="str">
        <x:v>Centro</x:v>
      </x:c>
      <x:c r="H13" s="11" t="str">
        <x:v>Avenida Trompowsky</x:v>
      </x:c>
      <x:c r="I13" s="11"/>
      <x:c r="J13" s="12" t="n">
        <x:v>4150000</x:v>
      </x:c>
      <x:c r="K13" s="13" t="n">
        <x:v>140</x:v>
      </x:c>
      <x:c r="L13" s="13" t="n">
        <x:v>185</x:v>
      </x:c>
      <x:c r="M13" s="12" t="n">
        <x:v>29642.85714285714</x:v>
      </x:c>
      <x:c r="N13" s="11" t="n">
        <x:v>3</x:v>
      </x:c>
      <x:c r="O13" s="11" t="n">
        <x:v>1</x:v>
      </x:c>
      <x:c r="P13" s="11" t="n">
        <x:v>3</x:v>
      </x:c>
      <x:c r="Q13" s="11" t="n">
        <x:v>3</x:v>
      </x:c>
      <x:c r="R13" s="12" t="n">
        <x:v>1029</x:v>
      </x:c>
      <x:c r="S13" s="12" t="n">
        <x:v>400</x:v>
      </x:c>
      <x:c r="T13" s="12" t="str">
        <x:v>mensal</x:v>
      </x:c>
      <x:c r="U13" s="12" t="n">
        <x:v>4800</x:v>
      </x:c>
      <x:c r="V13" s="11" t="str">
        <x:v>alto</x:v>
      </x:c>
      <x:c r="W13" s="11" t="str">
        <x:v>Sim</x:v>
      </x:c>
      <x:c r="X13" s="11" t="str">
        <x:v>Semi-mobiliado</x:v>
      </x:c>
      <x:c r="Y13" s="11" t="n">
        <x:v>0</x:v>
      </x:c>
      <x:c r="Z13" s="11" t="n">
        <x:v>1</x:v>
      </x:c>
      <x:c r="AA13" s="11" t="n">
        <x:v>0</x:v>
      </x:c>
      <x:c r="AB13" s="11" t="n">
        <x:v>0</x:v>
      </x:c>
      <x:c r="AC13" s="11" t="n">
        <x:v>0</x:v>
      </x:c>
      <x:c r="AD13" s="11" t="n">
        <x:v>1</x:v>
      </x:c>
      <x:c r="AE13" s="11" t="n">
        <x:v>1</x:v>
      </x:c>
      <x:c r="AF13" s="11" t="n">
        <x:v>0</x:v>
      </x:c>
      <x:c r="AG13" s="11"/>
      <x:c r="AH13" s="11" t="n">
        <x:v>1</x:v>
      </x:c>
      <x:c r="AI13" s="11"/>
      <x:c r="AJ13" s="11" t="str">
        <x:v>Somente anúncio; confirmar com fonte e vistoria</x:v>
      </x:c>
      <x:c r="AK13" s="11" t="str">
        <x:v>Vista para o mar.</x:v>
      </x:c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</x:row>
    <x:row r="14">
      <x:c r="A14" s="16" t="str">
        <x:v>GR-35452</x:v>
      </x:c>
      <x:c r="B14" s="16" t="str">
        <x:v>Gralha Imóveis</x:v>
      </x:c>
      <x:c r="C14" s="17" t="str">
        <x:v>https://www.gralhaimoveis.com.br/imovel/venda%2Bapartamento%2B3-quartos%2Bcentro%2Bflorianopolis%2Bsc%2B81m2%2Brs1250000/165133590</x:v>
      </x:c>
      <x:c r="D14" s="15" t="n">
        <x:v>46278.625</x:v>
      </x:c>
      <x:c r="E14" s="11" t="str">
        <x:v>Oferta</x:v>
      </x:c>
      <x:c r="F14" s="11" t="str">
        <x:v>Publicado na data da consulta</x:v>
      </x:c>
      <x:c r="G14" s="11" t="str">
        <x:v>Centro</x:v>
      </x:c>
      <x:c r="H14" s="11" t="str">
        <x:v>Rua Rafael Bandeira</x:v>
      </x:c>
      <x:c r="I14" s="11"/>
      <x:c r="J14" s="12" t="n">
        <x:v>1250000</x:v>
      </x:c>
      <x:c r="K14" s="13" t="n">
        <x:v>81</x:v>
      </x:c>
      <x:c r="L14" s="13" t="n">
        <x:v>118</x:v>
      </x:c>
      <x:c r="M14" s="12" t="n">
        <x:v>15432.098765432098</x:v>
      </x:c>
      <x:c r="N14" s="11" t="n">
        <x:v>3</x:v>
      </x:c>
      <x:c r="O14" s="11" t="n">
        <x:v>1</x:v>
      </x:c>
      <x:c r="P14" s="11" t="n">
        <x:v>2</x:v>
      </x:c>
      <x:c r="Q14" s="11" t="n">
        <x:v>1</x:v>
      </x:c>
      <x:c r="R14" s="12" t="n">
        <x:v>886</x:v>
      </x:c>
      <x:c r="S14" s="12" t="n">
        <x:v>76</x:v>
      </x:c>
      <x:c r="T14" s="12" t="str">
        <x:v>mensal</x:v>
      </x:c>
      <x:c r="U14" s="12" t="n">
        <x:v>912</x:v>
      </x:c>
      <x:c r="V14" s="11"/>
      <x:c r="W14" s="11" t="str">
        <x:v>Sim</x:v>
      </x:c>
      <x:c r="X14" s="11"/>
      <x:c r="Y14" s="11" t="n">
        <x:v>0</x:v>
      </x:c>
      <x:c r="Z14" s="11" t="n">
        <x:v>0</x:v>
      </x:c>
      <x:c r="AA14" s="11" t="n">
        <x:v>0</x:v>
      </x:c>
      <x:c r="AB14" s="11" t="n">
        <x:v>0</x:v>
      </x:c>
      <x:c r="AC14" s="11" t="n">
        <x:v>0</x:v>
      </x:c>
      <x:c r="AD14" s="11" t="n">
        <x:v>0</x:v>
      </x:c>
      <x:c r="AE14" s="11" t="n">
        <x:v>1</x:v>
      </x:c>
      <x:c r="AF14" s="11" t="n">
        <x:v>0</x:v>
      </x:c>
      <x:c r="AG14" s="11"/>
      <x:c r="AH14" s="11" t="n">
        <x:v>1</x:v>
      </x:c>
      <x:c r="AI14" s="11"/>
      <x:c r="AJ14" s="11" t="str">
        <x:v>Somente anúncio; confirmar com fonte e vistoria</x:v>
      </x:c>
      <x:c r="AK14" s="11" t="str">
        <x:v>Elevadores e salão de festas.</x:v>
      </x:c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</x:row>
    <x:row r="15">
      <x:c r="A15" s="16" t="str">
        <x:v>GR-39119</x:v>
      </x:c>
      <x:c r="B15" s="16" t="str">
        <x:v>Gralha Imóveis</x:v>
      </x:c>
      <x:c r="C15" s="17" t="str">
        <x:v>https://www.gralhaimoveis.com.br/imovel/venda%2Bapartamento%2B4-quartos%2Bcentro%2Bflorianopolis%2Bsc%2B140m2%2Brs1350000/165135876</x:v>
      </x:c>
      <x:c r="D15" s="15" t="n">
        <x:v>46278.625</x:v>
      </x:c>
      <x:c r="E15" s="11" t="str">
        <x:v>Oferta</x:v>
      </x:c>
      <x:c r="F15" s="11" t="str">
        <x:v>Publicado na data da consulta</x:v>
      </x:c>
      <x:c r="G15" s="11" t="str">
        <x:v>Centro</x:v>
      </x:c>
      <x:c r="H15" s="11" t="str">
        <x:v>Rua Ferreira Lima</x:v>
      </x:c>
      <x:c r="I15" s="11"/>
      <x:c r="J15" s="12" t="n">
        <x:v>1350000</x:v>
      </x:c>
      <x:c r="K15" s="13" t="n">
        <x:v>140</x:v>
      </x:c>
      <x:c r="L15" s="13" t="n">
        <x:v>191</x:v>
      </x:c>
      <x:c r="M15" s="12" t="n">
        <x:v>9642.857142857143</x:v>
      </x:c>
      <x:c r="N15" s="11" t="n">
        <x:v>4</x:v>
      </x:c>
      <x:c r="O15" s="11" t="n">
        <x:v>1</x:v>
      </x:c>
      <x:c r="P15" s="11" t="n">
        <x:v>3</x:v>
      </x:c>
      <x:c r="Q15" s="11" t="n">
        <x:v>2</x:v>
      </x:c>
      <x:c r="R15" s="12" t="n">
        <x:v>1500</x:v>
      </x:c>
      <x:c r="S15" s="12" t="n">
        <x:v>410</x:v>
      </x:c>
      <x:c r="T15" s="12" t="str">
        <x:v>mensal</x:v>
      </x:c>
      <x:c r="U15" s="12" t="n">
        <x:v>4920</x:v>
      </x:c>
      <x:c r="V15" s="11"/>
      <x:c r="W15" s="11" t="str">
        <x:v>Sim</x:v>
      </x:c>
      <x:c r="X15" s="11"/>
      <x:c r="Y15" s="11" t="n">
        <x:v>0</x:v>
      </x:c>
      <x:c r="Z15" s="11" t="n">
        <x:v>0</x:v>
      </x:c>
      <x:c r="AA15" s="11" t="n">
        <x:v>0</x:v>
      </x:c>
      <x:c r="AB15" s="11" t="n">
        <x:v>0</x:v>
      </x:c>
      <x:c r="AC15" s="11" t="n">
        <x:v>0</x:v>
      </x:c>
      <x:c r="AD15" s="11" t="n">
        <x:v>0</x:v>
      </x:c>
      <x:c r="AE15" s="11" t="n">
        <x:v>1</x:v>
      </x:c>
      <x:c r="AF15" s="11" t="n">
        <x:v>0</x:v>
      </x:c>
      <x:c r="AG15" s="11"/>
      <x:c r="AH15" s="11" t="n">
        <x:v>1</x:v>
      </x:c>
      <x:c r="AI15" s="11"/>
      <x:c r="AJ15" s="11" t="str">
        <x:v>Somente anúncio; confirmar com fonte e vistoria</x:v>
      </x:c>
      <x:c r="AK15" s="11" t="str">
        <x:v>Portaria 24 h; elevadores social e de serviço.</x:v>
      </x:c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</x:row>
    <x:row r="16">
      <x:c r="A16" s="16" t="str">
        <x:v>GR-165139116</x:v>
      </x:c>
      <x:c r="B16" s="16" t="str">
        <x:v>Gralha Imóveis</x:v>
      </x:c>
      <x:c r="C16" s="17" t="str">
        <x:v>https://www.gralhaimoveis.com.br/imovel/venda%2Bapartamento%2B3-quartos%2Bcentro%2Bflorianopolis%2Bsc%2B96m2%2Brs1980000/165139116</x:v>
      </x:c>
      <x:c r="D16" s="15" t="n">
        <x:v>46278.625</x:v>
      </x:c>
      <x:c r="E16" s="11" t="str">
        <x:v>Oferta</x:v>
      </x:c>
      <x:c r="F16" s="11" t="str">
        <x:v>Publicado na data da consulta</x:v>
      </x:c>
      <x:c r="G16" s="11" t="str">
        <x:v>Centro</x:v>
      </x:c>
      <x:c r="H16" s="11" t="str">
        <x:v>Junto ao Parque da Luz</x:v>
      </x:c>
      <x:c r="I16" s="11"/>
      <x:c r="J16" s="12" t="n">
        <x:v>1980000</x:v>
      </x:c>
      <x:c r="K16" s="13" t="n">
        <x:v>96.96</x:v>
      </x:c>
      <x:c r="L16" s="13" t="n">
        <x:v>159</x:v>
      </x:c>
      <x:c r="M16" s="12" t="n">
        <x:v>20420.79207920792</x:v>
      </x:c>
      <x:c r="N16" s="11" t="n">
        <x:v>3</x:v>
      </x:c>
      <x:c r="O16" s="11" t="n">
        <x:v>1</x:v>
      </x:c>
      <x:c r="P16" s="11" t="n">
        <x:v>3</x:v>
      </x:c>
      <x:c r="Q16" s="11" t="n">
        <x:v>1</x:v>
      </x:c>
      <x:c r="R16" s="12" t="n">
        <x:v>1101</x:v>
      </x:c>
      <x:c r="S16" s="12" t="n">
        <x:v>350</x:v>
      </x:c>
      <x:c r="T16" s="12" t="str">
        <x:v>mensal</x:v>
      </x:c>
      <x:c r="U16" s="12" t="n">
        <x:v>4200</x:v>
      </x:c>
      <x:c r="V16" s="11"/>
      <x:c r="W16" s="11" t="str">
        <x:v>Sim</x:v>
      </x:c>
      <x:c r="X16" s="11" t="str">
        <x:v>Sem acabamentos internos; necessita reforma</x:v>
      </x:c>
      <x:c r="Y16" s="11" t="n">
        <x:v>0</x:v>
      </x:c>
      <x:c r="Z16" s="11" t="n">
        <x:v>0</x:v>
      </x:c>
      <x:c r="AA16" s="11" t="n">
        <x:v>0</x:v>
      </x:c>
      <x:c r="AB16" s="11" t="n">
        <x:v>0</x:v>
      </x:c>
      <x:c r="AC16" s="11" t="n">
        <x:v>0</x:v>
      </x:c>
      <x:c r="AD16" s="11" t="n">
        <x:v>0</x:v>
      </x:c>
      <x:c r="AE16" s="11" t="n">
        <x:v>1</x:v>
      </x:c>
      <x:c r="AF16" s="11" t="n">
        <x:v>0</x:v>
      </x:c>
      <x:c r="AG16" s="11"/>
      <x:c r="AH16" s="11" t="n">
        <x:v>1</x:v>
      </x:c>
      <x:c r="AI16" s="11"/>
      <x:c r="AJ16" s="11" t="str">
        <x:v>Somente anúncio; confirmar com fonte e vistoria</x:v>
      </x:c>
      <x:c r="AK16" s="1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</x:row>
    <x:row r="17">
      <x:c r="A17" s="16" t="str">
        <x:v>GR-165129246</x:v>
      </x:c>
      <x:c r="B17" s="16" t="str">
        <x:v>Gralha Imóveis</x:v>
      </x:c>
      <x:c r="C17" s="17" t="str">
        <x:v>https://www.gralhaimoveis.com.br/imovel/venda%2Bapartamento%2B3-quartos%2Bcentro%2Bflorianopolis%2Bsc%2B83m2%2Brs1950000/165129246</x:v>
      </x:c>
      <x:c r="D17" s="15" t="n">
        <x:v>46278.625</x:v>
      </x:c>
      <x:c r="E17" s="11" t="str">
        <x:v>Oferta</x:v>
      </x:c>
      <x:c r="F17" s="11" t="str">
        <x:v>Publicado na data da consulta</x:v>
      </x:c>
      <x:c r="G17" s="11" t="str">
        <x:v>Centro</x:v>
      </x:c>
      <x:c r="H17" s="11" t="str">
        <x:v>Rua São Jorge</x:v>
      </x:c>
      <x:c r="I17" s="11"/>
      <x:c r="J17" s="12" t="n">
        <x:v>1950000</x:v>
      </x:c>
      <x:c r="K17" s="13" t="n">
        <x:v>83</x:v>
      </x:c>
      <x:c r="L17" s="13" t="n">
        <x:v>108</x:v>
      </x:c>
      <x:c r="M17" s="12" t="n">
        <x:v>23493.975903614457</x:v>
      </x:c>
      <x:c r="N17" s="11" t="n">
        <x:v>3</x:v>
      </x:c>
      <x:c r="O17" s="11" t="n">
        <x:v>1</x:v>
      </x:c>
      <x:c r="P17" s="11" t="n">
        <x:v>2</x:v>
      </x:c>
      <x:c r="Q17" s="11" t="n">
        <x:v>2</x:v>
      </x:c>
      <x:c r="R17" s="12" t="n">
        <x:v>1000</x:v>
      </x:c>
      <x:c r="S17" s="12" t="n">
        <x:v>268</x:v>
      </x:c>
      <x:c r="T17" s="12" t="str">
        <x:v>mensal</x:v>
      </x:c>
      <x:c r="U17" s="12" t="n">
        <x:v>3216</x:v>
      </x:c>
      <x:c r="V17" s="11"/>
      <x:c r="W17" s="11" t="str">
        <x:v>Sim</x:v>
      </x:c>
      <x:c r="X17" s="11"/>
      <x:c r="Y17" s="11" t="n">
        <x:v>0</x:v>
      </x:c>
      <x:c r="Z17" s="11" t="n">
        <x:v>0</x:v>
      </x:c>
      <x:c r="AA17" s="11" t="n">
        <x:v>0</x:v>
      </x:c>
      <x:c r="AB17" s="11" t="n">
        <x:v>0</x:v>
      </x:c>
      <x:c r="AC17" s="11" t="n">
        <x:v>0</x:v>
      </x:c>
      <x:c r="AD17" s="11" t="n">
        <x:v>0</x:v>
      </x:c>
      <x:c r="AE17" s="11" t="n">
        <x:v>1</x:v>
      </x:c>
      <x:c r="AF17" s="11" t="n">
        <x:v>0</x:v>
      </x:c>
      <x:c r="AG17" s="11"/>
      <x:c r="AH17" s="11" t="n">
        <x:v>1</x:v>
      </x:c>
      <x:c r="AI17" s="11"/>
      <x:c r="AJ17" s="11" t="str">
        <x:v>Somente anúncio; confirmar com fonte e vistoria</x:v>
      </x:c>
      <x:c r="AK17" s="11" t="str">
        <x:v>Vista panorâmica.</x:v>
      </x:c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</x:row>
    <x:row r="18">
      <x:c r="A18" s="16" t="str">
        <x:v>GR-165129103</x:v>
      </x:c>
      <x:c r="B18" s="16" t="str">
        <x:v>Gralha Imóveis</x:v>
      </x:c>
      <x:c r="C18" s="17" t="str">
        <x:v>https://www.gralhaimoveis.com.br/imovel/venda%2Bapartamento%2B3-quartos%2Bcentro%2Bflorianopolis%2Bsc%2B151m2%2Brs2400000/165129103</x:v>
      </x:c>
      <x:c r="D18" s="15" t="n">
        <x:v>46278.625</x:v>
      </x:c>
      <x:c r="E18" s="11" t="str">
        <x:v>Oferta</x:v>
      </x:c>
      <x:c r="F18" s="11" t="str">
        <x:v>Publicado na data da consulta</x:v>
      </x:c>
      <x:c r="G18" s="11" t="str">
        <x:v>Centro</x:v>
      </x:c>
      <x:c r="H18" s="11" t="str">
        <x:v>Rua Diniz Júnior</x:v>
      </x:c>
      <x:c r="I18" s="11"/>
      <x:c r="J18" s="12" t="n">
        <x:v>3000000</x:v>
      </x:c>
      <x:c r="K18" s="13" t="n">
        <x:v>148</x:v>
      </x:c>
      <x:c r="L18" s="13" t="n">
        <x:v>180</x:v>
      </x:c>
      <x:c r="M18" s="12" t="n">
        <x:v>20270.27027027027</x:v>
      </x:c>
      <x:c r="N18" s="11" t="n">
        <x:v>3</x:v>
      </x:c>
      <x:c r="O18" s="11" t="n">
        <x:v>3</x:v>
      </x:c>
      <x:c r="P18" s="11" t="n">
        <x:v>4</x:v>
      </x:c>
      <x:c r="Q18" s="11" t="n">
        <x:v>2</x:v>
      </x:c>
      <x:c r="R18" s="12"/>
      <x:c r="S18" s="12"/>
      <x:c r="T18" s="12"/>
      <x:c r="U18" s="12"/>
      <x:c r="V18" s="11"/>
      <x:c r="W18" s="11" t="str">
        <x:v>Sim</x:v>
      </x:c>
      <x:c r="X18" s="11" t="str">
        <x:v>SPE/preço de custo</x:v>
      </x:c>
      <x:c r="Y18" s="11" t="n">
        <x:v>0</x:v>
      </x:c>
      <x:c r="Z18" s="11" t="n">
        <x:v>0</x:v>
      </x:c>
      <x:c r="AA18" s="11" t="n">
        <x:v>0</x:v>
      </x:c>
      <x:c r="AB18" s="11" t="n">
        <x:v>0</x:v>
      </x:c>
      <x:c r="AC18" s="11" t="n">
        <x:v>1</x:v>
      </x:c>
      <x:c r="AD18" s="11" t="n">
        <x:v>0</x:v>
      </x:c>
      <x:c r="AE18" s="11" t="n">
        <x:v>1</x:v>
      </x:c>
      <x:c r="AF18" s="11" t="n">
        <x:v>1</x:v>
      </x:c>
      <x:c r="AG18" s="11"/>
      <x:c r="AH18" s="11" t="n">
        <x:v>0</x:v>
      </x:c>
      <x:c r="AI18" s="11" t="str">
        <x:v>lançamento/construção ou preço de custo; conflito relevante no anúncio</x:v>
      </x:c>
      <x:c r="AJ18" s="11" t="str">
        <x:v>Somente anúncio; confirmar com fonte e vistoria</x:v>
      </x:c>
      <x:c r="AK18" s="11" t="str">
        <x:v>Slug indica 151 m² e R$ 2.400.000; página exibia 148 m² e R$ 3.000.000. Validar antes do uso.</x:v>
      </x:c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</x:row>
    <x:row r="19">
      <x:c r="A19" s="16" t="str">
        <x:v>GR-36062</x:v>
      </x:c>
      <x:c r="B19" s="16" t="str">
        <x:v>Gralha Imóveis</x:v>
      </x:c>
      <x:c r="C19" s="17" t="str">
        <x:v>https://www.gralhaimoveis.com.br/imovel/venda%2Bapartamento%2B2-quartos%2Bcentro%2Bflorianopolis%2Bsc%2B112m2%2Brs2460000/165133778</x:v>
      </x:c>
      <x:c r="D19" s="15" t="n">
        <x:v>46278.625</x:v>
      </x:c>
      <x:c r="E19" s="11" t="str">
        <x:v>Oferta</x:v>
      </x:c>
      <x:c r="F19" s="11" t="str">
        <x:v>Publicado na data da consulta</x:v>
      </x:c>
      <x:c r="G19" s="11" t="str">
        <x:v>Centro</x:v>
      </x:c>
      <x:c r="H19" s="11" t="str">
        <x:v>Rua Desembargador Arno Hoeschl</x:v>
      </x:c>
      <x:c r="I19" s="11"/>
      <x:c r="J19" s="12" t="n">
        <x:v>2460000</x:v>
      </x:c>
      <x:c r="K19" s="13" t="n">
        <x:v>112</x:v>
      </x:c>
      <x:c r="L19" s="13" t="n">
        <x:v>159</x:v>
      </x:c>
      <x:c r="M19" s="12" t="n">
        <x:v>21964.285714285714</x:v>
      </x:c>
      <x:c r="N19" s="11" t="n">
        <x:v>2</x:v>
      </x:c>
      <x:c r="O19" s="11" t="n">
        <x:v>2</x:v>
      </x:c>
      <x:c r="P19" s="11" t="n">
        <x:v>3</x:v>
      </x:c>
      <x:c r="Q19" s="11" t="n">
        <x:v>2</x:v>
      </x:c>
      <x:c r="R19" s="12" t="n">
        <x:v>1047</x:v>
      </x:c>
      <x:c r="S19" s="12" t="n">
        <x:v>455</x:v>
      </x:c>
      <x:c r="T19" s="12" t="str">
        <x:v>mensal</x:v>
      </x:c>
      <x:c r="U19" s="12" t="n">
        <x:v>5460</x:v>
      </x:c>
      <x:c r="V19" s="11"/>
      <x:c r="W19" s="11" t="str">
        <x:v>Sim</x:v>
      </x:c>
      <x:c r="X19" s="11"/>
      <x:c r="Y19" s="11" t="n">
        <x:v>0</x:v>
      </x:c>
      <x:c r="Z19" s="11" t="n">
        <x:v>0</x:v>
      </x:c>
      <x:c r="AA19" s="11" t="n">
        <x:v>0</x:v>
      </x:c>
      <x:c r="AB19" s="11" t="n">
        <x:v>0</x:v>
      </x:c>
      <x:c r="AC19" s="11" t="n">
        <x:v>0</x:v>
      </x:c>
      <x:c r="AD19" s="11" t="n">
        <x:v>0</x:v>
      </x:c>
      <x:c r="AE19" s="11" t="n">
        <x:v>1</x:v>
      </x:c>
      <x:c r="AF19" s="11" t="n">
        <x:v>0</x:v>
      </x:c>
      <x:c r="AG19" s="11"/>
      <x:c r="AH19" s="11" t="n">
        <x:v>1</x:v>
      </x:c>
      <x:c r="AI19" s="11"/>
      <x:c r="AJ19" s="11" t="str">
        <x:v>Somente anúncio; confirmar com fonte e vistoria</x:v>
      </x:c>
      <x:c r="AK19" s="11" t="str">
        <x:v>Vista parcial para o mar; dois elevadores.</x:v>
      </x:c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</x:row>
    <x:row r="20">
      <x:c r="A20" s="16" t="str">
        <x:v>GR-165139410</x:v>
      </x:c>
      <x:c r="B20" s="16" t="str">
        <x:v>Gralha Imóveis</x:v>
      </x:c>
      <x:c r="C20" s="17" t="str">
        <x:v>https://www.gralhaimoveis.com.br/imovel/venda%2Bapartamento%2B2-quartos%2Bcentro%2Bflorianopolis%2Bsc%2B81m2%2Brs1400000/165139410</x:v>
      </x:c>
      <x:c r="D20" s="15" t="n">
        <x:v>46278.625</x:v>
      </x:c>
      <x:c r="E20" s="11" t="str">
        <x:v>Oferta</x:v>
      </x:c>
      <x:c r="F20" s="11" t="str">
        <x:v>Publicado na data da consulta</x:v>
      </x:c>
      <x:c r="G20" s="11" t="str">
        <x:v>Centro</x:v>
      </x:c>
      <x:c r="H20" s="11"/>
      <x:c r="I20" s="11"/>
      <x:c r="J20" s="12" t="n">
        <x:v>1400000</x:v>
      </x:c>
      <x:c r="K20" s="13" t="n">
        <x:v>81</x:v>
      </x:c>
      <x:c r="L20" s="13" t="n">
        <x:v>119</x:v>
      </x:c>
      <x:c r="M20" s="12" t="n">
        <x:v>17283.95061728395</x:v>
      </x:c>
      <x:c r="N20" s="11" t="n">
        <x:v>2</x:v>
      </x:c>
      <x:c r="O20" s="11" t="n">
        <x:v>2</x:v>
      </x:c>
      <x:c r="P20" s="11"/>
      <x:c r="Q20" s="11"/>
      <x:c r="R20" s="12" t="n">
        <x:v>1934</x:v>
      </x:c>
      <x:c r="S20" s="12" t="n">
        <x:v>260</x:v>
      </x:c>
      <x:c r="T20" s="12" t="str">
        <x:v>mensal</x:v>
      </x:c>
      <x:c r="U20" s="12" t="n">
        <x:v>3120</x:v>
      </x:c>
      <x:c r="V20" s="11"/>
      <x:c r="W20" s="11"/>
      <x:c r="X20" s="11"/>
      <x:c r="Y20" s="11" t="n">
        <x:v>0</x:v>
      </x:c>
      <x:c r="Z20" s="11" t="n">
        <x:v>0</x:v>
      </x:c>
      <x:c r="AA20" s="11" t="n">
        <x:v>0</x:v>
      </x:c>
      <x:c r="AB20" s="11" t="n">
        <x:v>0</x:v>
      </x:c>
      <x:c r="AC20" s="11" t="n">
        <x:v>0</x:v>
      </x:c>
      <x:c r="AD20" s="11" t="n">
        <x:v>0</x:v>
      </x:c>
      <x:c r="AE20" s="11" t="n">
        <x:v>1</x:v>
      </x:c>
      <x:c r="AF20" s="11" t="n">
        <x:v>1</x:v>
      </x:c>
      <x:c r="AG20" s="11"/>
      <x:c r="AH20" s="11" t="n">
        <x:v>0</x:v>
      </x:c>
      <x:c r="AI20" s="11" t="str">
        <x:v>conflito relevante no anúncio</x:v>
      </x:c>
      <x:c r="AJ20" s="11" t="str">
        <x:v>Somente anúncio; confirmar com fonte e vistoria</x:v>
      </x:c>
      <x:c r="AK20" s="11" t="str">
        <x:v>Banheiros e vagas não extraídos; validar antes do uso.</x:v>
      </x:c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</x:row>
    <x:row r="21">
      <x:c r="A21" s="16" t="str">
        <x:v>GR-40819</x:v>
      </x:c>
      <x:c r="B21" s="16" t="str">
        <x:v>Gralha Imóveis</x:v>
      </x:c>
      <x:c r="C21" s="17" t="str">
        <x:v>https://www.gralhaimoveis.com.br/imovel/venda%2Bapartamento%2B3-quartos%2Bcentro%2Bflorianopolis%2Bsc%2B131m2%2Brs1490000/165137302</x:v>
      </x:c>
      <x:c r="D21" s="15" t="n">
        <x:v>46278.625</x:v>
      </x:c>
      <x:c r="E21" s="11" t="str">
        <x:v>Oferta</x:v>
      </x:c>
      <x:c r="F21" s="11" t="str">
        <x:v>Publicado na data da consulta</x:v>
      </x:c>
      <x:c r="G21" s="11" t="str">
        <x:v>Centro</x:v>
      </x:c>
      <x:c r="H21" s="11" t="str">
        <x:v>Rua Presidente Coutinho</x:v>
      </x:c>
      <x:c r="I21" s="11"/>
      <x:c r="J21" s="12" t="n">
        <x:v>1390000</x:v>
      </x:c>
      <x:c r="K21" s="13" t="n">
        <x:v>131</x:v>
      </x:c>
      <x:c r="L21" s="13" t="n">
        <x:v>173</x:v>
      </x:c>
      <x:c r="M21" s="12" t="n">
        <x:v>10610.687022900764</x:v>
      </x:c>
      <x:c r="N21" s="11" t="n">
        <x:v>3</x:v>
      </x:c>
      <x:c r="O21" s="11" t="n">
        <x:v>1</x:v>
      </x:c>
      <x:c r="P21" s="11" t="n">
        <x:v>4</x:v>
      </x:c>
      <x:c r="Q21" s="11" t="n">
        <x:v>1</x:v>
      </x:c>
      <x:c r="R21" s="12" t="n">
        <x:v>2000</x:v>
      </x:c>
      <x:c r="S21" s="12" t="n">
        <x:v>450</x:v>
      </x:c>
      <x:c r="T21" s="12" t="str">
        <x:v>mensal</x:v>
      </x:c>
      <x:c r="U21" s="12" t="n">
        <x:v>5400</x:v>
      </x:c>
      <x:c r="V21" s="11" t="str">
        <x:v>alto</x:v>
      </x:c>
      <x:c r="W21" s="11" t="str">
        <x:v>Sim</x:v>
      </x:c>
      <x:c r="X21" s="11"/>
      <x:c r="Y21" s="11" t="n">
        <x:v>0</x:v>
      </x:c>
      <x:c r="Z21" s="11" t="n">
        <x:v>0</x:v>
      </x:c>
      <x:c r="AA21" s="11" t="n">
        <x:v>0</x:v>
      </x:c>
      <x:c r="AB21" s="11" t="n">
        <x:v>0</x:v>
      </x:c>
      <x:c r="AC21" s="11" t="n">
        <x:v>0</x:v>
      </x:c>
      <x:c r="AD21" s="11" t="n">
        <x:v>0</x:v>
      </x:c>
      <x:c r="AE21" s="11" t="n">
        <x:v>1</x:v>
      </x:c>
      <x:c r="AF21" s="11" t="n">
        <x:v>1</x:v>
      </x:c>
      <x:c r="AG21" s="11"/>
      <x:c r="AH21" s="11" t="n">
        <x:v>0</x:v>
      </x:c>
      <x:c r="AI21" s="11" t="str">
        <x:v>conflito relevante no anúncio</x:v>
      </x:c>
      <x:c r="AJ21" s="11" t="str">
        <x:v>Somente anúncio; confirmar com fonte e vistoria</x:v>
      </x:c>
      <x:c r="AK21" s="11" t="str">
        <x:v>Slug contém R$ 1.490.000; página exibia R$ 1.390.000. Dois elevadores.</x:v>
      </x:c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</x:row>
    <x:row r="22">
      <x:c r="A22" s="16" t="str">
        <x:v>A01</x:v>
      </x:c>
      <x:c r="B22" s="16" t="str">
        <x:v>Imovelweb</x:v>
      </x:c>
      <x:c r="C22" s="17" t="str">
        <x:v>https://www.imovelweb.com.br/propriedades/apartamento-3-dormitorios-113.45-m-em-centro-3012983266.html</x:v>
      </x:c>
      <x:c r="D22" s="15" t="n">
        <x:v>46278.625</x:v>
      </x:c>
      <x:c r="E22" s="11" t="str">
        <x:v>Oferta</x:v>
      </x:c>
      <x:c r="F22" s="11" t="str">
        <x:v>Publicado na data da consulta</x:v>
      </x:c>
      <x:c r="G22" s="11" t="str">
        <x:v>Centro</x:v>
      </x:c>
      <x:c r="H22" s="11" t="str">
        <x:v>Rua Presidente Coutinho, Centro, Florianópolis</x:v>
      </x:c>
      <x:c r="I22" s="11"/>
      <x:c r="J22" s="12" t="n">
        <x:v>1649000</x:v>
      </x:c>
      <x:c r="K22" s="13" t="n">
        <x:v>113</x:v>
      </x:c>
      <x:c r="L22" s="13"/>
      <x:c r="M22" s="12" t="n">
        <x:v>14592.920353982301</x:v>
      </x:c>
      <x:c r="N22" s="11" t="n">
        <x:v>3</x:v>
      </x:c>
      <x:c r="O22" s="11" t="n">
        <x:v>1</x:v>
      </x:c>
      <x:c r="P22" s="11" t="n">
        <x:v>1</x:v>
      </x:c>
      <x:c r="Q22" s="11" t="n">
        <x:v>2</x:v>
      </x:c>
      <x:c r="R22" s="12" t="n">
        <x:v>1911</x:v>
      </x:c>
      <x:c r="S22" s="12" t="n">
        <x:v>260</x:v>
      </x:c>
      <x:c r="T22" s="12" t="str">
        <x:v>não informada</x:v>
      </x:c>
      <x:c r="U22" s="12"/>
      <x:c r="V22" s="11"/>
      <x:c r="W22" s="11"/>
      <x:c r="X22" s="11"/>
      <x:c r="Y22" s="11" t="n">
        <x:v>0</x:v>
      </x:c>
      <x:c r="Z22" s="11" t="n">
        <x:v>0</x:v>
      </x:c>
      <x:c r="AA22" s="11" t="n">
        <x:v>0</x:v>
      </x:c>
      <x:c r="AB22" s="11" t="n">
        <x:v>0</x:v>
      </x:c>
      <x:c r="AC22" s="11" t="n">
        <x:v>0</x:v>
      </x:c>
      <x:c r="AD22" s="11" t="n">
        <x:v>0</x:v>
      </x:c>
      <x:c r="AE22" s="11" t="n">
        <x:v>1</x:v>
      </x:c>
      <x:c r="AF22" s="11" t="n">
        <x:v>0</x:v>
      </x:c>
      <x:c r="AG22" s="11"/>
      <x:c r="AH22" s="11" t="n">
        <x:v>1</x:v>
      </x:c>
      <x:c r="AI22" s="11"/>
      <x:c r="AJ22" s="11" t="str">
        <x:v>Somente anúncio; confirmar com fonte e vistoria</x:v>
      </x:c>
      <x:c r="AK22" s="11" t="str">
        <x:v>Área útil anunciada 113 m²; área total 170 m²; portaria 24h explicitada.</x:v>
      </x:c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</x:row>
    <x:row r="23">
      <x:c r="A23" s="16" t="str">
        <x:v>A02</x:v>
      </x:c>
      <x:c r="B23" s="16" t="str">
        <x:v>Imovelweb</x:v>
      </x:c>
      <x:c r="C23" s="17" t="str">
        <x:v>https://www.imovelweb.com.br/propriedades/apartamento-em-centro-florianopolis-sc-de-69m-2-3044142600.html</x:v>
      </x:c>
      <x:c r="D23" s="15" t="n">
        <x:v>46278.625</x:v>
      </x:c>
      <x:c r="E23" s="11" t="str">
        <x:v>Oferta</x:v>
      </x:c>
      <x:c r="F23" s="11" t="str">
        <x:v>Publicado na data da consulta</x:v>
      </x:c>
      <x:c r="G23" s="11" t="str">
        <x:v>Centro</x:v>
      </x:c>
      <x:c r="H23" s="11" t="str">
        <x:v>Avenida Hercílio Luz 901, Centro, Florianópolis</x:v>
      </x:c>
      <x:c r="I23" s="11"/>
      <x:c r="J23" s="12" t="n">
        <x:v>1600000</x:v>
      </x:c>
      <x:c r="K23" s="13" t="n">
        <x:v>69</x:v>
      </x:c>
      <x:c r="L23" s="13"/>
      <x:c r="M23" s="12" t="n">
        <x:v>23188.405797101448</x:v>
      </x:c>
      <x:c r="N23" s="11" t="n">
        <x:v>2</x:v>
      </x:c>
      <x:c r="O23" s="11" t="n">
        <x:v>2</x:v>
      </x:c>
      <x:c r="P23" s="11" t="n">
        <x:v>3</x:v>
      </x:c>
      <x:c r="Q23" s="11" t="n">
        <x:v>2</x:v>
      </x:c>
      <x:c r="R23" s="12" t="n">
        <x:v>997</x:v>
      </x:c>
      <x:c r="S23" s="12" t="n">
        <x:v>223</x:v>
      </x:c>
      <x:c r="T23" s="12" t="str">
        <x:v>não informada</x:v>
      </x:c>
      <x:c r="U23" s="12"/>
      <x:c r="V23" s="11" t="str">
        <x:v>alto</x:v>
      </x:c>
      <x:c r="W23" s="11" t="str">
        <x:v>Sim</x:v>
      </x:c>
      <x:c r="X23" s="11" t="str">
        <x:v>semi mobiliado; condomínio recém-entregue</x:v>
      </x:c>
      <x:c r="Y23" s="11" t="n">
        <x:v>1</x:v>
      </x:c>
      <x:c r="Z23" s="11" t="n">
        <x:v>0</x:v>
      </x:c>
      <x:c r="AA23" s="11" t="n">
        <x:v>0</x:v>
      </x:c>
      <x:c r="AB23" s="11" t="n">
        <x:v>0</x:v>
      </x:c>
      <x:c r="AC23" s="11" t="n">
        <x:v>0</x:v>
      </x:c>
      <x:c r="AD23" s="11" t="n">
        <x:v>0</x:v>
      </x:c>
      <x:c r="AE23" s="11" t="n">
        <x:v>1</x:v>
      </x:c>
      <x:c r="AF23" s="11" t="n">
        <x:v>0</x:v>
      </x:c>
      <x:c r="AG23" s="11"/>
      <x:c r="AH23" s="11" t="n">
        <x:v>1</x:v>
      </x:c>
      <x:c r="AI23" s="11"/>
      <x:c r="AJ23" s="11" t="str">
        <x:v>Somente anúncio; confirmar com fonte e vistoria</x:v>
      </x:c>
      <x:c r="AK23" s="11" t="str">
        <x:v>Andar alto e elevador explicitados.</x:v>
      </x:c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</x:row>
    <x:row r="24">
      <x:c r="A24" s="16" t="str">
        <x:v>A03</x:v>
      </x:c>
      <x:c r="B24" s="16" t="str">
        <x:v>Imovelweb</x:v>
      </x:c>
      <x:c r="C24" s="17" t="str">
        <x:v>https://www.imovelweb.com.br/propriedades/apartamento-em-centro-florianopolis-sc-de-77m-2-3018177678.html</x:v>
      </x:c>
      <x:c r="D24" s="15" t="n">
        <x:v>46278.625</x:v>
      </x:c>
      <x:c r="E24" s="11" t="str">
        <x:v>Oferta</x:v>
      </x:c>
      <x:c r="F24" s="11" t="str">
        <x:v>Publicado na data da consulta</x:v>
      </x:c>
      <x:c r="G24" s="11" t="str">
        <x:v>Centro</x:v>
      </x:c>
      <x:c r="H24" s="11" t="str">
        <x:v>Rua Santos Dumont 18, Centro, Florianópolis</x:v>
      </x:c>
      <x:c r="I24" s="11"/>
      <x:c r="J24" s="12" t="n">
        <x:v>720000</x:v>
      </x:c>
      <x:c r="K24" s="13" t="n">
        <x:v>77</x:v>
      </x:c>
      <x:c r="L24" s="13"/>
      <x:c r="M24" s="12" t="n">
        <x:v>9350.64935064935</x:v>
      </x:c>
      <x:c r="N24" s="11" t="n">
        <x:v>2</x:v>
      </x:c>
      <x:c r="O24" s="11" t="n">
        <x:v>1</x:v>
      </x:c>
      <x:c r="P24" s="11" t="n">
        <x:v>2</x:v>
      </x:c>
      <x:c r="Q24" s="11"/>
      <x:c r="R24" s="12" t="n">
        <x:v>791</x:v>
      </x:c>
      <x:c r="S24" s="12" t="n">
        <x:v>140</x:v>
      </x:c>
      <x:c r="T24" s="12" t="str">
        <x:v>não informada</x:v>
      </x:c>
      <x:c r="U24" s="12"/>
      <x:c r="V24" s="11" t="n">
        <x:v>3</x:v>
      </x:c>
      <x:c r="W24" s="11" t="str">
        <x:v>Sim</x:v>
      </x:c>
      <x:c r="X24" s="11" t="str">
        <x:v>totalmente reformado; mobiliado e equipado</x:v>
      </x:c>
      <x:c r="Y24" s="11" t="n">
        <x:v>0</x:v>
      </x:c>
      <x:c r="Z24" s="11" t="n">
        <x:v>1</x:v>
      </x:c>
      <x:c r="AA24" s="11" t="n">
        <x:v>1</x:v>
      </x:c>
      <x:c r="AB24" s="11" t="n">
        <x:v>0</x:v>
      </x:c>
      <x:c r="AC24" s="11" t="n">
        <x:v>0</x:v>
      </x:c>
      <x:c r="AD24" s="11" t="n">
        <x:v>0</x:v>
      </x:c>
      <x:c r="AE24" s="11" t="n">
        <x:v>1</x:v>
      </x:c>
      <x:c r="AF24" s="11" t="n">
        <x:v>0</x:v>
      </x:c>
      <x:c r="AG24" s="11"/>
      <x:c r="AH24" s="11" t="n">
        <x:v>1</x:v>
      </x:c>
      <x:c r="AI24" s="11"/>
      <x:c r="AJ24" s="11" t="str">
        <x:v>Somente anúncio; confirmar com fonte e vistoria</x:v>
      </x:c>
      <x:c r="AK24" s="11" t="str">
        <x:v>Elevador e terceiro andar explicitados.</x:v>
      </x:c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</x:row>
    <x:row r="25">
      <x:c r="A25" s="16" t="str">
        <x:v>A04</x:v>
      </x:c>
      <x:c r="B25" s="16" t="str">
        <x:v>Imovelweb</x:v>
      </x:c>
      <x:c r="C25" s="17" t="str">
        <x:v>https://www.imovelweb.com.br/propriedades/apartamento-3-dormitorios-89-m-em-centro-3021908925.html</x:v>
      </x:c>
      <x:c r="D25" s="15" t="n">
        <x:v>46278.625</x:v>
      </x:c>
      <x:c r="E25" s="11" t="str">
        <x:v>Oferta</x:v>
      </x:c>
      <x:c r="F25" s="11" t="str">
        <x:v>Publicado na data da consulta</x:v>
      </x:c>
      <x:c r="G25" s="11" t="str">
        <x:v>Centro</x:v>
      </x:c>
      <x:c r="H25" s="11" t="str">
        <x:v>Praça Olívio Amorim, 112, Centro, Florianópolis</x:v>
      </x:c>
      <x:c r="I25" s="11"/>
      <x:c r="J25" s="12" t="n">
        <x:v>724000</x:v>
      </x:c>
      <x:c r="K25" s="13" t="n">
        <x:v>89</x:v>
      </x:c>
      <x:c r="L25" s="13"/>
      <x:c r="M25" s="12" t="n">
        <x:v>8134.831460674157</x:v>
      </x:c>
      <x:c r="N25" s="11" t="n">
        <x:v>3</x:v>
      </x:c>
      <x:c r="O25" s="11"/>
      <x:c r="P25" s="11" t="n">
        <x:v>2</x:v>
      </x:c>
      <x:c r="Q25" s="11" t="n">
        <x:v>1</x:v>
      </x:c>
      <x:c r="R25" s="12"/>
      <x:c r="S25" s="12"/>
      <x:c r="T25" s="12"/>
      <x:c r="U25" s="12"/>
      <x:c r="V25" s="11"/>
      <x:c r="W25" s="11"/>
      <x:c r="X25" s="11"/>
      <x:c r="Y25" s="11" t="n">
        <x:v>0</x:v>
      </x:c>
      <x:c r="Z25" s="11" t="n">
        <x:v>0</x:v>
      </x:c>
      <x:c r="AA25" s="11" t="n">
        <x:v>0</x:v>
      </x:c>
      <x:c r="AB25" s="11" t="n">
        <x:v>0</x:v>
      </x:c>
      <x:c r="AC25" s="11" t="n">
        <x:v>0</x:v>
      </x:c>
      <x:c r="AD25" s="11" t="n">
        <x:v>0</x:v>
      </x:c>
      <x:c r="AE25" s="11" t="n">
        <x:v>1</x:v>
      </x:c>
      <x:c r="AF25" s="11" t="n">
        <x:v>0</x:v>
      </x:c>
      <x:c r="AG25" s="11"/>
      <x:c r="AH25" s="11" t="n">
        <x:v>1</x:v>
      </x:c>
      <x:c r="AI25" s="11"/>
      <x:c r="AJ25" s="11" t="str">
        <x:v>Somente anúncio; confirmar com fonte e vistoria</x:v>
      </x:c>
      <x:c r="AK25" s="11" t="str">
        <x:v>Área total anunciada 112 m².</x:v>
      </x:c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</x:row>
    <x:row r="26">
      <x:c r="A26" s="16" t="str">
        <x:v>A05</x:v>
      </x:c>
      <x:c r="B26" s="16" t="str">
        <x:v>Imovelweb</x:v>
      </x:c>
      <x:c r="C26" s="17" t="str">
        <x:v>https://www.imovelweb.com.br/propriedades/2-dormitorios-sendo-suite-no-centro-com-otima-posicao-3017874554.html</x:v>
      </x:c>
      <x:c r="D26" s="15" t="n">
        <x:v>46278.625</x:v>
      </x:c>
      <x:c r="E26" s="11" t="str">
        <x:v>Oferta</x:v>
      </x:c>
      <x:c r="F26" s="11" t="str">
        <x:v>Publicado na data da consulta</x:v>
      </x:c>
      <x:c r="G26" s="11" t="str">
        <x:v>Centro</x:v>
      </x:c>
      <x:c r="H26" s="11" t="str">
        <x:v>Praça Pereira Oliveira, 19, Centro, Florianópolis</x:v>
      </x:c>
      <x:c r="I26" s="11"/>
      <x:c r="J26" s="12" t="n">
        <x:v>720000</x:v>
      </x:c>
      <x:c r="K26" s="13" t="n">
        <x:v>76</x:v>
      </x:c>
      <x:c r="L26" s="13"/>
      <x:c r="M26" s="12" t="n">
        <x:v>9473.684210526315</x:v>
      </x:c>
      <x:c r="N26" s="11" t="n">
        <x:v>2</x:v>
      </x:c>
      <x:c r="O26" s="11" t="n">
        <x:v>1</x:v>
      </x:c>
      <x:c r="P26" s="11" t="n">
        <x:v>2</x:v>
      </x:c>
      <x:c r="Q26" s="11"/>
      <x:c r="R26" s="12" t="n">
        <x:v>791</x:v>
      </x:c>
      <x:c r="S26" s="12" t="n">
        <x:v>1164</x:v>
      </x:c>
      <x:c r="T26" s="12" t="str">
        <x:v>não informada</x:v>
      </x:c>
      <x:c r="U26" s="12"/>
      <x:c r="V26" s="11" t="n">
        <x:v>3</x:v>
      </x:c>
      <x:c r="W26" s="11" t="str">
        <x:v>Sim</x:v>
      </x:c>
      <x:c r="X26" s="11" t="str">
        <x:v>reforma completa; porteira fechada</x:v>
      </x:c>
      <x:c r="Y26" s="11" t="n">
        <x:v>0</x:v>
      </x:c>
      <x:c r="Z26" s="11" t="n">
        <x:v>1</x:v>
      </x:c>
      <x:c r="AA26" s="11" t="n">
        <x:v>0</x:v>
      </x:c>
      <x:c r="AB26" s="11" t="n">
        <x:v>0</x:v>
      </x:c>
      <x:c r="AC26" s="11" t="n">
        <x:v>0</x:v>
      </x:c>
      <x:c r="AD26" s="11" t="n">
        <x:v>0</x:v>
      </x:c>
      <x:c r="AE26" s="11" t="n">
        <x:v>1</x:v>
      </x:c>
      <x:c r="AF26" s="11" t="n">
        <x:v>0</x:v>
      </x:c>
      <x:c r="AG26" s="11"/>
      <x:c r="AH26" s="11" t="n">
        <x:v>1</x:v>
      </x:c>
      <x:c r="AI26" s="11"/>
      <x:c r="AJ26" s="11" t="str">
        <x:v>Somente anúncio; confirmar com fonte e vistoria</x:v>
      </x:c>
      <x:c r="AK26" s="11" t="str">
        <x:v>Descrição também cita Rua Visconde de Ouro Preto; página aponta Praça Pereira Oliveira. Usar URL para conferência.</x:v>
      </x:c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</x:row>
    <x:row r="27">
      <x:c r="A27" s="16" t="str">
        <x:v>A06</x:v>
      </x:c>
      <x:c r="B27" s="16" t="str">
        <x:v>Imovelweb</x:v>
      </x:c>
      <x:c r="C27" s="17" t="str">
        <x:v>https://www.imovelweb.com.br/propriedades/apartamento-4-dormitorios-134-m-em-centro-3044046682.html</x:v>
      </x:c>
      <x:c r="D27" s="15" t="n">
        <x:v>46278.625</x:v>
      </x:c>
      <x:c r="E27" s="11" t="str">
        <x:v>Oferta</x:v>
      </x:c>
      <x:c r="F27" s="11" t="str">
        <x:v>Publicado na data da consulta</x:v>
      </x:c>
      <x:c r="G27" s="11" t="str">
        <x:v>Centro</x:v>
      </x:c>
      <x:c r="H27" s="11" t="str">
        <x:v>Rua Newton Ramos, Centro, Florianópolis</x:v>
      </x:c>
      <x:c r="I27" s="11"/>
      <x:c r="J27" s="12" t="n">
        <x:v>2450000</x:v>
      </x:c>
      <x:c r="K27" s="13" t="n">
        <x:v>134</x:v>
      </x:c>
      <x:c r="L27" s="13"/>
      <x:c r="M27" s="12" t="n">
        <x:v>18283.582089552237</x:v>
      </x:c>
      <x:c r="N27" s="11" t="n">
        <x:v>4</x:v>
      </x:c>
      <x:c r="O27" s="11" t="n">
        <x:v>2</x:v>
      </x:c>
      <x:c r="P27" s="11" t="n">
        <x:v>1</x:v>
      </x:c>
      <x:c r="Q27" s="11" t="n">
        <x:v>2</x:v>
      </x:c>
      <x:c r="R27" s="12" t="n">
        <x:v>1489</x:v>
      </x:c>
      <x:c r="S27" s="12" t="n">
        <x:v>253</x:v>
      </x:c>
      <x:c r="T27" s="12" t="str">
        <x:v>não informada</x:v>
      </x:c>
      <x:c r="U27" s="12"/>
      <x:c r="V27" s="11"/>
      <x:c r="W27" s="11" t="str">
        <x:v>Sim</x:v>
      </x:c>
      <x:c r="X27" s="11" t="str">
        <x:v>semimobiliado</x:v>
      </x:c>
      <x:c r="Y27" s="11" t="n">
        <x:v>1</x:v>
      </x:c>
      <x:c r="Z27" s="11" t="n">
        <x:v>0</x:v>
      </x:c>
      <x:c r="AA27" s="11" t="n">
        <x:v>0</x:v>
      </x:c>
      <x:c r="AB27" s="11" t="n">
        <x:v>0</x:v>
      </x:c>
      <x:c r="AC27" s="11" t="n">
        <x:v>0</x:v>
      </x:c>
      <x:c r="AD27" s="11" t="n">
        <x:v>0</x:v>
      </x:c>
      <x:c r="AE27" s="11" t="n">
        <x:v>1</x:v>
      </x:c>
      <x:c r="AF27" s="11" t="n">
        <x:v>1</x:v>
      </x:c>
      <x:c r="AG27" s="11"/>
      <x:c r="AH27" s="11" t="n">
        <x:v>0</x:v>
      </x:c>
      <x:c r="AI27" s="11" t="str">
        <x:v>conflito relevante no anúncio</x:v>
      </x:c>
      <x:c r="AJ27" s="11" t="str">
        <x:v>Somente anúncio; confirmar com fonte e vistoria</x:v>
      </x:c>
      <x:c r="AK27" s="11" t="str">
        <x:v>Descrição informa elevadores social e de serviço; contagem de banheiros exibida no card pode divergir da descrição (lavabo e banheiro de serviço).</x:v>
      </x:c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</x:row>
    <x:row r="28">
      <x:c r="A28" s="16" t="str">
        <x:v>A07</x:v>
      </x:c>
      <x:c r="B28" s="16" t="str">
        <x:v>Imovelweb</x:v>
      </x:c>
      <x:c r="C28" s="17" t="str">
        <x:v>https://www.imovelweb.com.br/propriedades/apartamento-2-dormitorios-48.41-m-em-centro-3024280955.html</x:v>
      </x:c>
      <x:c r="D28" s="15" t="n">
        <x:v>46278.625</x:v>
      </x:c>
      <x:c r="E28" s="11" t="str">
        <x:v>Oferta</x:v>
      </x:c>
      <x:c r="F28" s="11" t="str">
        <x:v>Publicado na data da consulta</x:v>
      </x:c>
      <x:c r="G28" s="11" t="str">
        <x:v>Centro</x:v>
      </x:c>
      <x:c r="H28" s="11" t="str">
        <x:v>Rua Almirante Alvim, 452, Centro, Florianópolis</x:v>
      </x:c>
      <x:c r="I28" s="11"/>
      <x:c r="J28" s="12" t="n">
        <x:v>680000</x:v>
      </x:c>
      <x:c r="K28" s="13" t="n">
        <x:v>48.41</x:v>
      </x:c>
      <x:c r="L28" s="13"/>
      <x:c r="M28" s="12" t="n">
        <x:v>14046.684569303863</x:v>
      </x:c>
      <x:c r="N28" s="11" t="n">
        <x:v>2</x:v>
      </x:c>
      <x:c r="O28" s="11"/>
      <x:c r="P28" s="11" t="n">
        <x:v>1</x:v>
      </x:c>
      <x:c r="Q28" s="11" t="n">
        <x:v>1</x:v>
      </x:c>
      <x:c r="R28" s="12" t="n">
        <x:v>650</x:v>
      </x:c>
      <x:c r="S28" s="12" t="n">
        <x:v>99</x:v>
      </x:c>
      <x:c r="T28" s="12" t="str">
        <x:v>não informada</x:v>
      </x:c>
      <x:c r="U28" s="12"/>
      <x:c r="V28" s="11"/>
      <x:c r="W28" s="11"/>
      <x:c r="X28" s="11" t="str">
        <x:v>ótimo estado de conservação</x:v>
      </x:c>
      <x:c r="Y28" s="11" t="n">
        <x:v>0</x:v>
      </x:c>
      <x:c r="Z28" s="11" t="n">
        <x:v>0</x:v>
      </x:c>
      <x:c r="AA28" s="11" t="n">
        <x:v>0</x:v>
      </x:c>
      <x:c r="AB28" s="11" t="n">
        <x:v>0</x:v>
      </x:c>
      <x:c r="AC28" s="11" t="n">
        <x:v>0</x:v>
      </x:c>
      <x:c r="AD28" s="11" t="n">
        <x:v>0</x:v>
      </x:c>
      <x:c r="AE28" s="11" t="n">
        <x:v>1</x:v>
      </x:c>
      <x:c r="AF28" s="11" t="n">
        <x:v>0</x:v>
      </x:c>
      <x:c r="AG28" s="11"/>
      <x:c r="AH28" s="11" t="n">
        <x:v>0</x:v>
      </x:c>
      <x:c r="AI28" s="11" t="str">
        <x:v>área fora de 60 a 150 m²</x:v>
      </x:c>
      <x:c r="AJ28" s="11" t="str">
        <x:v>Somente anúncio; confirmar com fonte e vistoria</x:v>
      </x:c>
      <x:c r="AK28" s="11" t="str">
        <x:v>Área total anunciada 63 m²; abaixo do perfil preferencial de 60 m², manter somente como amostra auxiliar.</x:v>
      </x:c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</x:row>
    <x:row r="29">
      <x:c r="A29" s="16" t="str">
        <x:v>A08</x:v>
      </x:c>
      <x:c r="B29" s="16" t="str">
        <x:v>Imovelweb</x:v>
      </x:c>
      <x:c r="C29" s="17" t="str">
        <x:v>https://www.imovelweb.com.br/propriedades/apartamento-2-quartos-a-venda-no-centro-em-3033346056.html</x:v>
      </x:c>
      <x:c r="D29" s="15" t="n">
        <x:v>46278.625</x:v>
      </x:c>
      <x:c r="E29" s="11" t="str">
        <x:v>Oferta</x:v>
      </x:c>
      <x:c r="F29" s="11" t="str">
        <x:v>Publicado na data da consulta</x:v>
      </x:c>
      <x:c r="G29" s="11" t="str">
        <x:v>Centro</x:v>
      </x:c>
      <x:c r="H29" s="11" t="str">
        <x:v>Padre Roma, 304, Centro, Florianópolis</x:v>
      </x:c>
      <x:c r="I29" s="11"/>
      <x:c r="J29" s="12" t="n">
        <x:v>750000</x:v>
      </x:c>
      <x:c r="K29" s="13" t="n">
        <x:v>78.79</x:v>
      </x:c>
      <x:c r="L29" s="13"/>
      <x:c r="M29" s="12" t="n">
        <x:v>9518.974489148368</x:v>
      </x:c>
      <x:c r="N29" s="11" t="n">
        <x:v>2</x:v>
      </x:c>
      <x:c r="O29" s="11"/>
      <x:c r="P29" s="11" t="n">
        <x:v>2</x:v>
      </x:c>
      <x:c r="Q29" s="11" t="n">
        <x:v>1</x:v>
      </x:c>
      <x:c r="R29" s="12" t="n">
        <x:v>695</x:v>
      </x:c>
      <x:c r="S29" s="12" t="n">
        <x:v>1246</x:v>
      </x:c>
      <x:c r="T29" s="12" t="str">
        <x:v>não informada</x:v>
      </x:c>
      <x:c r="U29" s="12"/>
      <x:c r="V29" s="11"/>
      <x:c r="W29" s="11" t="str">
        <x:v>Sim</x:v>
      </x:c>
      <x:c r="X29" s="11" t="str">
        <x:v>atualizado</x:v>
      </x:c>
      <x:c r="Y29" s="11" t="n">
        <x:v>0</x:v>
      </x:c>
      <x:c r="Z29" s="11" t="n">
        <x:v>0</x:v>
      </x:c>
      <x:c r="AA29" s="11" t="n">
        <x:v>1</x:v>
      </x:c>
      <x:c r="AB29" s="11" t="n">
        <x:v>0</x:v>
      </x:c>
      <x:c r="AC29" s="11" t="n">
        <x:v>0</x:v>
      </x:c>
      <x:c r="AD29" s="11" t="n">
        <x:v>0</x:v>
      </x:c>
      <x:c r="AE29" s="11" t="n">
        <x:v>1</x:v>
      </x:c>
      <x:c r="AF29" s="11" t="n">
        <x:v>0</x:v>
      </x:c>
      <x:c r="AG29" s="11"/>
      <x:c r="AH29" s="11" t="n">
        <x:v>1</x:v>
      </x:c>
      <x:c r="AI29" s="11"/>
      <x:c r="AJ29" s="11" t="str">
        <x:v>Somente anúncio; confirmar com fonte e vistoria</x:v>
      </x:c>
      <x:c r="AK29" s="11" t="str">
        <x:v>Área total 89 m²; portaria remota e elevador explicitados.</x:v>
      </x:c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</x:row>
    <x:row r="30">
      <x:c r="A30" s="16" t="str">
        <x:v>A09</x:v>
      </x:c>
      <x:c r="B30" s="16" t="str">
        <x:v>Imovelweb</x:v>
      </x:c>
      <x:c r="C30" s="17" t="str">
        <x:v>https://www.imovelweb.com.br/propriedades/apartamento-com-3-dormitorios-a-venda-165-m-por-r%24-3033511811.html</x:v>
      </x:c>
      <x:c r="D30" s="15" t="n">
        <x:v>46278.625</x:v>
      </x:c>
      <x:c r="E30" s="11" t="str">
        <x:v>Oferta</x:v>
      </x:c>
      <x:c r="F30" s="11" t="str">
        <x:v>Publicado na data da consulta</x:v>
      </x:c>
      <x:c r="G30" s="11" t="str">
        <x:v>Centro</x:v>
      </x:c>
      <x:c r="H30" s="11" t="str">
        <x:v>Rua Vítor Konder 302, Centro, Florianópolis</x:v>
      </x:c>
      <x:c r="I30" s="11"/>
      <x:c r="J30" s="12" t="n">
        <x:v>3899999</x:v>
      </x:c>
      <x:c r="K30" s="13" t="n">
        <x:v>165</x:v>
      </x:c>
      <x:c r="L30" s="13"/>
      <x:c r="M30" s="12" t="n">
        <x:v>23636.357575757575</x:v>
      </x:c>
      <x:c r="N30" s="11" t="n">
        <x:v>3</x:v>
      </x:c>
      <x:c r="O30" s="11" t="n">
        <x:v>3</x:v>
      </x:c>
      <x:c r="P30" s="11" t="n">
        <x:v>5</x:v>
      </x:c>
      <x:c r="Q30" s="11" t="n">
        <x:v>3</x:v>
      </x:c>
      <x:c r="R30" s="12" t="n">
        <x:v>1640</x:v>
      </x:c>
      <x:c r="S30" s="12" t="n">
        <x:v>678</x:v>
      </x:c>
      <x:c r="T30" s="12" t="str">
        <x:v>não informada</x:v>
      </x:c>
      <x:c r="U30" s="12"/>
      <x:c r="V30" s="11"/>
      <x:c r="W30" s="11"/>
      <x:c r="X30" s="11" t="str">
        <x:v>semi mobiliado; alto padrão</x:v>
      </x:c>
      <x:c r="Y30" s="11" t="n">
        <x:v>1</x:v>
      </x:c>
      <x:c r="Z30" s="11" t="n">
        <x:v>0</x:v>
      </x:c>
      <x:c r="AA30" s="11" t="n">
        <x:v>0</x:v>
      </x:c>
      <x:c r="AB30" s="11" t="n">
        <x:v>1</x:v>
      </x:c>
      <x:c r="AC30" s="11" t="n">
        <x:v>0</x:v>
      </x:c>
      <x:c r="AD30" s="11" t="n">
        <x:v>0</x:v>
      </x:c>
      <x:c r="AE30" s="11" t="n">
        <x:v>1</x:v>
      </x:c>
      <x:c r="AF30" s="11" t="n">
        <x:v>0</x:v>
      </x:c>
      <x:c r="AG30" s="11"/>
      <x:c r="AH30" s="11" t="n">
        <x:v>0</x:v>
      </x:c>
      <x:c r="AI30" s="11" t="str">
        <x:v>área fora de 60 a 150 m²</x:v>
      </x:c>
      <x:c r="AJ30" s="11" t="str">
        <x:v>Somente anúncio; confirmar com fonte e vistoria</x:v>
      </x:c>
      <x:c r="AK30" s="11" t="str">
        <x:v>Fora do teto preferencial de 150 m²; manter como amostra auxiliar. Anúncio menciona data interna 23/04/2026.</x:v>
      </x:c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</x:row>
    <x:row r="31">
      <x:c r="A31" s="16" t="str">
        <x:v>A10</x:v>
      </x:c>
      <x:c r="B31" s="16" t="str">
        <x:v>Imovelweb</x:v>
      </x:c>
      <x:c r="C31" s="17" t="str">
        <x:v>https://www.imovelweb.com.br/propriedades/apartamento-3-suites-mobiliado-em-andar-alto-no-centro-3030812829.html</x:v>
      </x:c>
      <x:c r="D31" s="15" t="n">
        <x:v>46278.625</x:v>
      </x:c>
      <x:c r="E31" s="11" t="str">
        <x:v>Oferta</x:v>
      </x:c>
      <x:c r="F31" s="11" t="str">
        <x:v>Publicado na data da consulta</x:v>
      </x:c>
      <x:c r="G31" s="11" t="str">
        <x:v>Centro</x:v>
      </x:c>
      <x:c r="H31" s="11" t="str">
        <x:v>Rua Vítor Konder, 302, Centro, Florianópolis</x:v>
      </x:c>
      <x:c r="I31" s="11"/>
      <x:c r="J31" s="12" t="n">
        <x:v>3800000</x:v>
      </x:c>
      <x:c r="K31" s="13" t="n">
        <x:v>165</x:v>
      </x:c>
      <x:c r="L31" s="13"/>
      <x:c r="M31" s="12" t="n">
        <x:v>23030.303030303032</x:v>
      </x:c>
      <x:c r="N31" s="11" t="n">
        <x:v>3</x:v>
      </x:c>
      <x:c r="O31" s="11" t="n">
        <x:v>3</x:v>
      </x:c>
      <x:c r="P31" s="11" t="n">
        <x:v>4</x:v>
      </x:c>
      <x:c r="Q31" s="11" t="n">
        <x:v>2</x:v>
      </x:c>
      <x:c r="R31" s="12"/>
      <x:c r="S31" s="12" t="n">
        <x:v>5463</x:v>
      </x:c>
      <x:c r="T31" s="12" t="str">
        <x:v>não informada</x:v>
      </x:c>
      <x:c r="U31" s="12"/>
      <x:c r="V31" s="11" t="str">
        <x:v>alto</x:v>
      </x:c>
      <x:c r="W31" s="11" t="str">
        <x:v>Sim</x:v>
      </x:c>
      <x:c r="X31" s="11" t="str">
        <x:v>mobiliado; alto padrão</x:v>
      </x:c>
      <x:c r="Y31" s="11" t="n">
        <x:v>0</x:v>
      </x:c>
      <x:c r="Z31" s="11" t="n">
        <x:v>1</x:v>
      </x:c>
      <x:c r="AA31" s="11" t="n">
        <x:v>0</x:v>
      </x:c>
      <x:c r="AB31" s="11" t="n">
        <x:v>1</x:v>
      </x:c>
      <x:c r="AC31" s="11" t="n">
        <x:v>0</x:v>
      </x:c>
      <x:c r="AD31" s="11" t="n">
        <x:v>0</x:v>
      </x:c>
      <x:c r="AE31" s="11" t="n">
        <x:v>1</x:v>
      </x:c>
      <x:c r="AF31" s="11" t="n">
        <x:v>0</x:v>
      </x:c>
      <x:c r="AG31" s="11" t="str">
        <x:v>A09</x:v>
      </x:c>
      <x:c r="AH31" s="11" t="n">
        <x:v>0</x:v>
      </x:c>
      <x:c r="AI31" s="11" t="str">
        <x:v>área fora de 60 a 150 m²; duplicidade provável de A09</x:v>
      </x:c>
      <x:c r="AJ31" s="11" t="str">
        <x:v>Somente anúncio; confirmar com fonte e vistoria</x:v>
      </x:c>
      <x:c r="AK31" s="11" t="str">
        <x:v>Fora do teto preferencial de 150 m²; elevadores explicitados.</x:v>
      </x:c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</x:row>
    <x:row r="32">
      <x:c r="A32" s="16" t="str">
        <x:v>A11</x:v>
      </x:c>
      <x:c r="B32" s="16" t="str">
        <x:v>Imovelweb</x:v>
      </x:c>
      <x:c r="C32" s="17" t="str">
        <x:v>https://www.imovelweb.com.br/propriedades/centro-apartamento-3-suites-com-lavabo-3031021592.html</x:v>
      </x:c>
      <x:c r="D32" s="15" t="n">
        <x:v>46278.625</x:v>
      </x:c>
      <x:c r="E32" s="11" t="str">
        <x:v>Oferta</x:v>
      </x:c>
      <x:c r="F32" s="11" t="str">
        <x:v>Publicado na data da consulta</x:v>
      </x:c>
      <x:c r="G32" s="11" t="str">
        <x:v>Centro</x:v>
      </x:c>
      <x:c r="H32" s="11" t="str">
        <x:v>Rua Crispim Mira 70, Centro, Florianópolis</x:v>
      </x:c>
      <x:c r="I32" s="11"/>
      <x:c r="J32" s="12" t="n">
        <x:v>3017537</x:v>
      </x:c>
      <x:c r="K32" s="13" t="n">
        <x:v>146</x:v>
      </x:c>
      <x:c r="L32" s="13"/>
      <x:c r="M32" s="12" t="n">
        <x:v>20668.061643835616</x:v>
      </x:c>
      <x:c r="N32" s="11" t="n">
        <x:v>3</x:v>
      </x:c>
      <x:c r="O32" s="11" t="n">
        <x:v>3</x:v>
      </x:c>
      <x:c r="P32" s="11" t="n">
        <x:v>4</x:v>
      </x:c>
      <x:c r="Q32" s="11" t="n">
        <x:v>2</x:v>
      </x:c>
      <x:c r="R32" s="12"/>
      <x:c r="S32" s="12"/>
      <x:c r="T32" s="12"/>
      <x:c r="U32" s="12"/>
      <x:c r="V32" s="11"/>
      <x:c r="W32" s="11"/>
      <x:c r="X32" s="11" t="str">
        <x:v>em construção, entrega anunciada 31/12/2028</x:v>
      </x:c>
      <x:c r="Y32" s="11" t="n">
        <x:v>0</x:v>
      </x:c>
      <x:c r="Z32" s="11" t="n">
        <x:v>0</x:v>
      </x:c>
      <x:c r="AA32" s="11" t="n">
        <x:v>0</x:v>
      </x:c>
      <x:c r="AB32" s="11" t="n">
        <x:v>0</x:v>
      </x:c>
      <x:c r="AC32" s="11" t="n">
        <x:v>1</x:v>
      </x:c>
      <x:c r="AD32" s="11" t="n">
        <x:v>0</x:v>
      </x:c>
      <x:c r="AE32" s="11" t="n">
        <x:v>1</x:v>
      </x:c>
      <x:c r="AF32" s="11" t="n">
        <x:v>0</x:v>
      </x:c>
      <x:c r="AG32" s="11"/>
      <x:c r="AH32" s="11" t="n">
        <x:v>0</x:v>
      </x:c>
      <x:c r="AI32" s="11" t="str">
        <x:v>lançamento/construção ou preço de custo</x:v>
      </x:c>
      <x:c r="AJ32" s="11" t="str">
        <x:v>Somente anúncio; confirmar com fonte e vistoria</x:v>
      </x:c>
      <x:c r="AK32" s="11" t="str">
        <x:v>Amostra de lançamento, deve ser tratada separadamente da base de usados.</x:v>
      </x:c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</x:row>
    <x:row r="33">
      <x:c r="A33" s="16" t="str">
        <x:v>A12</x:v>
      </x:c>
      <x:c r="B33" s="16" t="str">
        <x:v>Imovelweb</x:v>
      </x:c>
      <x:c r="C33" s="17" t="str">
        <x:v>https://www.imovelweb.com.br/propriedades/apartamento-3-dormitorios-125.3-m-em-centro-3043545460.html</x:v>
      </x:c>
      <x:c r="D33" s="15" t="n">
        <x:v>46278.625</x:v>
      </x:c>
      <x:c r="E33" s="11" t="str">
        <x:v>Oferta</x:v>
      </x:c>
      <x:c r="F33" s="11" t="str">
        <x:v>Publicado na data da consulta</x:v>
      </x:c>
      <x:c r="G33" s="11" t="str">
        <x:v>Centro</x:v>
      </x:c>
      <x:c r="H33" s="11" t="str">
        <x:v>Avenida Trompowsky, Centro, Florianópolis</x:v>
      </x:c>
      <x:c r="I33" s="11"/>
      <x:c r="J33" s="12" t="n">
        <x:v>3100000</x:v>
      </x:c>
      <x:c r="K33" s="13" t="n">
        <x:v>125.3</x:v>
      </x:c>
      <x:c r="L33" s="13"/>
      <x:c r="M33" s="12" t="n">
        <x:v>24740.622505985633</x:v>
      </x:c>
      <x:c r="N33" s="11" t="n">
        <x:v>3</x:v>
      </x:c>
      <x:c r="O33" s="11" t="n">
        <x:v>3</x:v>
      </x:c>
      <x:c r="P33" s="11" t="n">
        <x:v>1</x:v>
      </x:c>
      <x:c r="Q33" s="11" t="n">
        <x:v>2</x:v>
      </x:c>
      <x:c r="R33" s="12"/>
      <x:c r="S33" s="12" t="n">
        <x:v>9</x:v>
      </x:c>
      <x:c r="T33" s="12" t="str">
        <x:v>não informada</x:v>
      </x:c>
      <x:c r="U33" s="12"/>
      <x:c r="V33" s="11"/>
      <x:c r="W33" s="11" t="str">
        <x:v>Sim</x:v>
      </x:c>
      <x:c r="X33" s="11" t="str">
        <x:v>breve lançamento</x:v>
      </x:c>
      <x:c r="Y33" s="11" t="n">
        <x:v>0</x:v>
      </x:c>
      <x:c r="Z33" s="11" t="n">
        <x:v>0</x:v>
      </x:c>
      <x:c r="AA33" s="11" t="n">
        <x:v>0</x:v>
      </x:c>
      <x:c r="AB33" s="11" t="n">
        <x:v>0</x:v>
      </x:c>
      <x:c r="AC33" s="11" t="n">
        <x:v>1</x:v>
      </x:c>
      <x:c r="AD33" s="11" t="n">
        <x:v>0</x:v>
      </x:c>
      <x:c r="AE33" s="11" t="n">
        <x:v>1</x:v>
      </x:c>
      <x:c r="AF33" s="11" t="n">
        <x:v>0</x:v>
      </x:c>
      <x:c r="AG33" s="11"/>
      <x:c r="AH33" s="11" t="n">
        <x:v>0</x:v>
      </x:c>
      <x:c r="AI33" s="11" t="str">
        <x:v>lançamento/construção ou preço de custo</x:v>
      </x:c>
      <x:c r="AJ33" s="11" t="str">
        <x:v>Somente anúncio; confirmar com fonte e vistoria</x:v>
      </x:c>
      <x:c r="AK33" s="11" t="str">
        <x:v>Card indica IPTU R$ 9; preservado como publicado. Elevadores explicitados.</x:v>
      </x:c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</x:row>
    <x:row r="34">
      <x:c r="A34" s="16" t="str">
        <x:v>A13</x:v>
      </x:c>
      <x:c r="B34" s="16" t="str">
        <x:v>Imovelweb</x:v>
      </x:c>
      <x:c r="C34" s="17" t="str">
        <x:v>https://www.imovelweb.com.br/propriedades/centro-apartamento-3-quartos-1-suite-3010175667.html</x:v>
      </x:c>
      <x:c r="D34" s="15" t="n">
        <x:v>46278.625</x:v>
      </x:c>
      <x:c r="E34" s="11" t="str">
        <x:v>Oferta</x:v>
      </x:c>
      <x:c r="F34" s="11" t="str">
        <x:v>Publicado na data da consulta</x:v>
      </x:c>
      <x:c r="G34" s="11" t="str">
        <x:v>Centro</x:v>
      </x:c>
      <x:c r="H34" s="11" t="str">
        <x:v>Rua Felipe Schmidt 1012, Centro, Florianópolis</x:v>
      </x:c>
      <x:c r="I34" s="11"/>
      <x:c r="J34" s="12" t="n">
        <x:v>1870000</x:v>
      </x:c>
      <x:c r="K34" s="13" t="n">
        <x:v>94</x:v>
      </x:c>
      <x:c r="L34" s="13"/>
      <x:c r="M34" s="12" t="n">
        <x:v>19893.617021276597</x:v>
      </x:c>
      <x:c r="N34" s="11" t="n">
        <x:v>3</x:v>
      </x:c>
      <x:c r="O34" s="11" t="n">
        <x:v>1</x:v>
      </x:c>
      <x:c r="P34" s="11" t="n">
        <x:v>3</x:v>
      </x:c>
      <x:c r="Q34" s="11" t="n">
        <x:v>2</x:v>
      </x:c>
      <x:c r="R34" s="12" t="n">
        <x:v>1528</x:v>
      </x:c>
      <x:c r="S34" s="12" t="n">
        <x:v>4752</x:v>
      </x:c>
      <x:c r="T34" s="12" t="str">
        <x:v>não informada</x:v>
      </x:c>
      <x:c r="U34" s="12"/>
      <x:c r="V34" s="11"/>
      <x:c r="W34" s="11"/>
      <x:c r="X34" s="11" t="str">
        <x:v>semi mobiliado</x:v>
      </x:c>
      <x:c r="Y34" s="11" t="n">
        <x:v>1</x:v>
      </x:c>
      <x:c r="Z34" s="11" t="n">
        <x:v>0</x:v>
      </x:c>
      <x:c r="AA34" s="11" t="n">
        <x:v>0</x:v>
      </x:c>
      <x:c r="AB34" s="11" t="n">
        <x:v>0</x:v>
      </x:c>
      <x:c r="AC34" s="11" t="n">
        <x:v>0</x:v>
      </x:c>
      <x:c r="AD34" s="11" t="n">
        <x:v>0</x:v>
      </x:c>
      <x:c r="AE34" s="11" t="n">
        <x:v>1</x:v>
      </x:c>
      <x:c r="AF34" s="11" t="n">
        <x:v>0</x:v>
      </x:c>
      <x:c r="AG34" s="11"/>
      <x:c r="AH34" s="11" t="n">
        <x:v>1</x:v>
      </x:c>
      <x:c r="AI34" s="11"/>
      <x:c r="AJ34" s="11" t="str">
        <x:v>Somente anúncio; confirmar com fonte e vistoria</x:v>
      </x:c>
      <x:c r="AK34" s="11" t="str">
        <x:v>Área total anunciada 133 m².</x:v>
      </x:c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</x:row>
    <x:row r="35">
      <x:c r="A35" s="16" t="str">
        <x:v>A14</x:v>
      </x:c>
      <x:c r="B35" s="16" t="str">
        <x:v>Imovelweb</x:v>
      </x:c>
      <x:c r="C35" s="17" t="str">
        <x:v>https://www.imovelweb.com.br/propriedades/apartamento-2-quartos-moderno-e-reformado-no-centro-3017244226.html</x:v>
      </x:c>
      <x:c r="D35" s="15" t="n">
        <x:v>46278.625</x:v>
      </x:c>
      <x:c r="E35" s="11" t="str">
        <x:v>Oferta</x:v>
      </x:c>
      <x:c r="F35" s="11" t="str">
        <x:v>Publicado na data da consulta</x:v>
      </x:c>
      <x:c r="G35" s="11" t="str">
        <x:v>Centro</x:v>
      </x:c>
      <x:c r="H35" s="11" t="str">
        <x:v>Rua Francisco Tolentino, 700, Centro, Florianópolis</x:v>
      </x:c>
      <x:c r="I35" s="11"/>
      <x:c r="J35" s="12" t="n">
        <x:v>550000</x:v>
      </x:c>
      <x:c r="K35" s="13" t="n">
        <x:v>47.62</x:v>
      </x:c>
      <x:c r="L35" s="13"/>
      <x:c r="M35" s="12" t="n">
        <x:v>11549.769004619908</x:v>
      </x:c>
      <x:c r="N35" s="11" t="n">
        <x:v>2</x:v>
      </x:c>
      <x:c r="O35" s="11"/>
      <x:c r="P35" s="11" t="n">
        <x:v>1</x:v>
      </x:c>
      <x:c r="Q35" s="11"/>
      <x:c r="R35" s="12" t="n">
        <x:v>760</x:v>
      </x:c>
      <x:c r="S35" s="12" t="n">
        <x:v>163</x:v>
      </x:c>
      <x:c r="T35" s="12" t="str">
        <x:v>não informada</x:v>
      </x:c>
      <x:c r="U35" s="12"/>
      <x:c r="V35" s="11"/>
      <x:c r="W35" s="11" t="str">
        <x:v>Sim</x:v>
      </x:c>
      <x:c r="X35" s="11" t="str">
        <x:v>reformado</x:v>
      </x:c>
      <x:c r="Y35" s="11" t="n">
        <x:v>0</x:v>
      </x:c>
      <x:c r="Z35" s="11" t="n">
        <x:v>0</x:v>
      </x:c>
      <x:c r="AA35" s="11" t="n">
        <x:v>1</x:v>
      </x:c>
      <x:c r="AB35" s="11" t="n">
        <x:v>0</x:v>
      </x:c>
      <x:c r="AC35" s="11" t="n">
        <x:v>0</x:v>
      </x:c>
      <x:c r="AD35" s="11" t="n">
        <x:v>0</x:v>
      </x:c>
      <x:c r="AE35" s="11" t="n">
        <x:v>1</x:v>
      </x:c>
      <x:c r="AF35" s="11" t="n">
        <x:v>0</x:v>
      </x:c>
      <x:c r="AG35" s="11"/>
      <x:c r="AH35" s="11" t="n">
        <x:v>0</x:v>
      </x:c>
      <x:c r="AI35" s="11" t="str">
        <x:v>área fora de 60 a 150 m²</x:v>
      </x:c>
      <x:c r="AJ35" s="11" t="str">
        <x:v>Somente anúncio; confirmar com fonte e vistoria</x:v>
      </x:c>
      <x:c r="AK35" s="11" t="str">
        <x:v>Área total 58 m²; abaixo do perfil preferencial, auxiliar. Elevador social e de serviço explicitado.</x:v>
      </x:c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</x:row>
    <x:row r="36">
      <x:c r="A36" s="16" t="str">
        <x:v>A15</x:v>
      </x:c>
      <x:c r="B36" s="16" t="str">
        <x:v>Imovelweb</x:v>
      </x:c>
      <x:c r="C36" s="17" t="str">
        <x:v>https://www.imovelweb.com.br/propriedades/2-dormitorios-a-venda-57-m-por-r%24-540.000-centro-2980664832.html</x:v>
      </x:c>
      <x:c r="D36" s="15" t="n">
        <x:v>46278.625</x:v>
      </x:c>
      <x:c r="E36" s="11" t="str">
        <x:v>Oferta</x:v>
      </x:c>
      <x:c r="F36" s="11" t="str">
        <x:v>Publicado na data da consulta</x:v>
      </x:c>
      <x:c r="G36" s="11" t="str">
        <x:v>Centro</x:v>
      </x:c>
      <x:c r="H36" s="11" t="str">
        <x:v>Endereço ocultado, Centro, Florianópolis</x:v>
      </x:c>
      <x:c r="I36" s="11"/>
      <x:c r="J36" s="12" t="n">
        <x:v>490000</x:v>
      </x:c>
      <x:c r="K36" s="13" t="n">
        <x:v>58</x:v>
      </x:c>
      <x:c r="L36" s="13"/>
      <x:c r="M36" s="12" t="n">
        <x:v>8448.275862068966</x:v>
      </x:c>
      <x:c r="N36" s="11" t="n">
        <x:v>2</x:v>
      </x:c>
      <x:c r="O36" s="11"/>
      <x:c r="P36" s="11" t="n">
        <x:v>1</x:v>
      </x:c>
      <x:c r="Q36" s="11" t="n">
        <x:v>0</x:v>
      </x:c>
      <x:c r="R36" s="12"/>
      <x:c r="S36" s="12"/>
      <x:c r="T36" s="12"/>
      <x:c r="U36" s="12"/>
      <x:c r="V36" s="11" t="str">
        <x:v>alto</x:v>
      </x:c>
      <x:c r="W36" s="11" t="str">
        <x:v>Sim</x:v>
      </x:c>
      <x:c r="X36" s="11"/>
      <x:c r="Y36" s="11" t="n">
        <x:v>0</x:v>
      </x:c>
      <x:c r="Z36" s="11" t="n">
        <x:v>0</x:v>
      </x:c>
      <x:c r="AA36" s="11" t="n">
        <x:v>0</x:v>
      </x:c>
      <x:c r="AB36" s="11" t="n">
        <x:v>0</x:v>
      </x:c>
      <x:c r="AC36" s="11" t="n">
        <x:v>0</x:v>
      </x:c>
      <x:c r="AD36" s="11" t="n">
        <x:v>0</x:v>
      </x:c>
      <x:c r="AE36" s="11" t="n">
        <x:v>1</x:v>
      </x:c>
      <x:c r="AF36" s="11" t="n">
        <x:v>1</x:v>
      </x:c>
      <x:c r="AG36" s="11"/>
      <x:c r="AH36" s="11" t="n">
        <x:v>0</x:v>
      </x:c>
      <x:c r="AI36" s="11" t="str">
        <x:v>área fora de 60 a 150 m²; conflito relevante no anúncio</x:v>
      </x:c>
      <x:c r="AJ36" s="11" t="str">
        <x:v>Somente anúncio; confirmar com fonte e vistoria</x:v>
      </x:c>
      <x:c r="AK36" s="11" t="str">
        <x:v>Título interno menciona R$ 540.000, card da página R$ 490.000. Usar R$ 490.000, valor exibido; conferir antes de modelar.</x:v>
      </x:c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</x:row>
    <x:row r="37">
      <x:c r="A37" s="16" t="str">
        <x:v>A16</x:v>
      </x:c>
      <x:c r="B37" s="16" t="str">
        <x:v>Imovelweb</x:v>
      </x:c>
      <x:c r="C37" s="17" t="str">
        <x:v>https://www.imovelweb.com.br/propriedades/apartamento-2-dormitorios-48.41-m-em-centro-3009876101.html</x:v>
      </x:c>
      <x:c r="D37" s="15" t="n">
        <x:v>46278.625</x:v>
      </x:c>
      <x:c r="E37" s="11" t="str">
        <x:v>Oferta</x:v>
      </x:c>
      <x:c r="F37" s="11" t="str">
        <x:v>Publicado na data da consulta</x:v>
      </x:c>
      <x:c r="G37" s="11" t="str">
        <x:v>Centro</x:v>
      </x:c>
      <x:c r="H37" s="11" t="str">
        <x:v>Rua Almirante Alvim, 452, Centro, Florianópolis</x:v>
      </x:c>
      <x:c r="I37" s="11"/>
      <x:c r="J37" s="12" t="n">
        <x:v>695000</x:v>
      </x:c>
      <x:c r="K37" s="13" t="n">
        <x:v>48.41</x:v>
      </x:c>
      <x:c r="L37" s="13"/>
      <x:c r="M37" s="12" t="n">
        <x:v>14356.53790539145</x:v>
      </x:c>
      <x:c r="N37" s="11" t="n">
        <x:v>2</x:v>
      </x:c>
      <x:c r="O37" s="11"/>
      <x:c r="P37" s="11" t="n">
        <x:v>1</x:v>
      </x:c>
      <x:c r="Q37" s="11" t="n">
        <x:v>1</x:v>
      </x:c>
      <x:c r="R37" s="12"/>
      <x:c r="S37" s="12"/>
      <x:c r="T37" s="12"/>
      <x:c r="U37" s="12"/>
      <x:c r="V37" s="11"/>
      <x:c r="W37" s="11" t="str">
        <x:v>Sim</x:v>
      </x:c>
      <x:c r="X37" s="11" t="str">
        <x:v>reformado</x:v>
      </x:c>
      <x:c r="Y37" s="11" t="n">
        <x:v>0</x:v>
      </x:c>
      <x:c r="Z37" s="11" t="n">
        <x:v>0</x:v>
      </x:c>
      <x:c r="AA37" s="11" t="n">
        <x:v>1</x:v>
      </x:c>
      <x:c r="AB37" s="11" t="n">
        <x:v>0</x:v>
      </x:c>
      <x:c r="AC37" s="11" t="n">
        <x:v>0</x:v>
      </x:c>
      <x:c r="AD37" s="11" t="n">
        <x:v>0</x:v>
      </x:c>
      <x:c r="AE37" s="11" t="n">
        <x:v>1</x:v>
      </x:c>
      <x:c r="AF37" s="11" t="n">
        <x:v>0</x:v>
      </x:c>
      <x:c r="AG37" s="11" t="str">
        <x:v>A07</x:v>
      </x:c>
      <x:c r="AH37" s="11" t="n">
        <x:v>0</x:v>
      </x:c>
      <x:c r="AI37" s="11" t="str">
        <x:v>área fora de 60 a 150 m²; duplicidade provável de A07</x:v>
      </x:c>
      <x:c r="AJ37" s="11" t="str">
        <x:v>Somente anúncio; confirmar com fonte e vistoria</x:v>
      </x:c>
      <x:c r="AK37" s="11" t="str">
        <x:v>Possível anúncio duplicado da unidade/endereço A07, porém anúncio e preço distintos. Excluir na depuração se a unidade for confirmada como a mesma.</x:v>
      </x:c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</x:row>
    <x:row r="38">
      <x:c r="A38" s="16" t="str">
        <x:v>A17</x:v>
      </x:c>
      <x:c r="B38" s="16" t="str">
        <x:v>Imovelweb</x:v>
      </x:c>
      <x:c r="C38" s="17" t="str">
        <x:v>https://www.imovelweb.com.br/propriedades/imoveis-no-centro-3045199847.html</x:v>
      </x:c>
      <x:c r="D38" s="15" t="n">
        <x:v>46278.625</x:v>
      </x:c>
      <x:c r="E38" s="11" t="str">
        <x:v>Oferta</x:v>
      </x:c>
      <x:c r="F38" s="11" t="str">
        <x:v>Publicado na data da consulta</x:v>
      </x:c>
      <x:c r="G38" s="11" t="str">
        <x:v>Centro</x:v>
      </x:c>
      <x:c r="H38" s="11" t="str">
        <x:v>Centro, Florianópolis/SC</x:v>
      </x:c>
      <x:c r="I38" s="11"/>
      <x:c r="J38" s="12" t="n">
        <x:v>735000</x:v>
      </x:c>
      <x:c r="K38" s="13" t="n">
        <x:v>63</x:v>
      </x:c>
      <x:c r="L38" s="13"/>
      <x:c r="M38" s="12" t="n">
        <x:v>11666.666666666666</x:v>
      </x:c>
      <x:c r="N38" s="11" t="n">
        <x:v>2</x:v>
      </x:c>
      <x:c r="O38" s="11"/>
      <x:c r="P38" s="11" t="n">
        <x:v>1</x:v>
      </x:c>
      <x:c r="Q38" s="11" t="n">
        <x:v>1</x:v>
      </x:c>
      <x:c r="R38" s="12" t="n">
        <x:v>500</x:v>
      </x:c>
      <x:c r="S38" s="12" t="n">
        <x:v>1500</x:v>
      </x:c>
      <x:c r="T38" s="12" t="str">
        <x:v>não informada</x:v>
      </x:c>
      <x:c r="U38" s="12"/>
      <x:c r="V38" s="11" t="str">
        <x:v>alto</x:v>
      </x:c>
      <x:c r="W38" s="11" t="str">
        <x:v>Sim</x:v>
      </x:c>
      <x:c r="X38" s="11"/>
      <x:c r="Y38" s="11" t="n">
        <x:v>0</x:v>
      </x:c>
      <x:c r="Z38" s="11" t="n">
        <x:v>0</x:v>
      </x:c>
      <x:c r="AA38" s="11" t="n">
        <x:v>0</x:v>
      </x:c>
      <x:c r="AB38" s="11" t="n">
        <x:v>0</x:v>
      </x:c>
      <x:c r="AC38" s="11" t="n">
        <x:v>0</x:v>
      </x:c>
      <x:c r="AD38" s="11" t="n">
        <x:v>0</x:v>
      </x:c>
      <x:c r="AE38" s="11" t="n">
        <x:v>1</x:v>
      </x:c>
      <x:c r="AF38" s="11" t="n">
        <x:v>1</x:v>
      </x:c>
      <x:c r="AG38" s="11"/>
      <x:c r="AH38" s="11" t="n">
        <x:v>0</x:v>
      </x:c>
      <x:c r="AI38" s="11" t="str">
        <x:v>conflito relevante no anúncio</x:v>
      </x:c>
      <x:c r="AJ38" s="11" t="str">
        <x:v>Somente anúncio; confirmar com fonte e vistoria</x:v>
      </x:c>
      <x:c r="AK38" s="11" t="str">
        <x:v>Card lista 48 m², descrição informa área privativa 63 m² e condomínio R$728. Manter conflito documentado e validar na fonte antes da regressão.</x:v>
      </x:c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</x:row>
    <x:row r="39">
      <x:c r="A39" s="16" t="str">
        <x:v>A18</x:v>
      </x:c>
      <x:c r="B39" s="16" t="str">
        <x:v>ZAP Imóveis</x:v>
      </x:c>
      <x:c r="C39" s="17" t="str">
        <x:v>https://www.zapimoveis.com.br/venda/apartamentos/sc%2Bflorianopolis%2B%2Bcentro/</x:v>
      </x:c>
      <x:c r="D39" s="15" t="n">
        <x:v>46278.625</x:v>
      </x:c>
      <x:c r="E39" s="11" t="str">
        <x:v>Oferta</x:v>
      </x:c>
      <x:c r="F39" s="11" t="str">
        <x:v>Publicado na data da consulta</x:v>
      </x:c>
      <x:c r="G39" s="11" t="str">
        <x:v>Centro</x:v>
      </x:c>
      <x:c r="H39" s="11" t="str">
        <x:v>Avenida Rio Branco, Centro, Florianópolis</x:v>
      </x:c>
      <x:c r="I39" s="11"/>
      <x:c r="J39" s="12" t="n">
        <x:v>1290000</x:v>
      </x:c>
      <x:c r="K39" s="13" t="n">
        <x:v>89</x:v>
      </x:c>
      <x:c r="L39" s="13"/>
      <x:c r="M39" s="12" t="n">
        <x:v>14494.38202247191</x:v>
      </x:c>
      <x:c r="N39" s="11" t="n">
        <x:v>3</x:v>
      </x:c>
      <x:c r="O39" s="11"/>
      <x:c r="P39" s="11" t="n">
        <x:v>2</x:v>
      </x:c>
      <x:c r="Q39" s="11" t="n">
        <x:v>1</x:v>
      </x:c>
      <x:c r="R39" s="12" t="n">
        <x:v>980</x:v>
      </x:c>
      <x:c r="S39" s="12" t="n">
        <x:v>298</x:v>
      </x:c>
      <x:c r="T39" s="12" t="str">
        <x:v>não informada</x:v>
      </x:c>
      <x:c r="U39" s="12"/>
      <x:c r="V39" s="11"/>
      <x:c r="W39" s="11"/>
      <x:c r="X39" s="11"/>
      <x:c r="Y39" s="11" t="n">
        <x:v>0</x:v>
      </x:c>
      <x:c r="Z39" s="11" t="n">
        <x:v>0</x:v>
      </x:c>
      <x:c r="AA39" s="11" t="n">
        <x:v>0</x:v>
      </x:c>
      <x:c r="AB39" s="11" t="n">
        <x:v>0</x:v>
      </x:c>
      <x:c r="AC39" s="11" t="n">
        <x:v>0</x:v>
      </x:c>
      <x:c r="AD39" s="11" t="n">
        <x:v>0</x:v>
      </x:c>
      <x:c r="AE39" s="11" t="n">
        <x:v>0</x:v>
      </x:c>
      <x:c r="AF39" s="11" t="n">
        <x:v>0</x:v>
      </x:c>
      <x:c r="AG39" s="11"/>
      <x:c r="AH39" s="11" t="n">
        <x:v>0</x:v>
      </x:c>
      <x:c r="AI39" s="11" t="str">
        <x:v>URL não individual</x:v>
      </x:c>
      <x:c r="AJ39" s="11" t="str">
        <x:v>Somente anúncio; confirmar com fonte e vistoria</x:v>
      </x:c>
      <x:c r="AK39" s="11" t="str">
        <x:v>URL é de resultado do portal, pois o índice público não expôs URL individual. Excluir se for exigida URL individual estrita.</x:v>
      </x:c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</x:row>
    <x:row r="40">
      <x:c r="A40" s="16" t="str">
        <x:v>A19</x:v>
      </x:c>
      <x:c r="B40" s="16" t="str">
        <x:v>ZAP Imóveis</x:v>
      </x:c>
      <x:c r="C40" s="17" t="str">
        <x:v>https://www.zapimoveis.com.br/venda/apartamentos/sc%2Bflorianopolis%2B%2Bcentro/</x:v>
      </x:c>
      <x:c r="D40" s="15" t="n">
        <x:v>46278.625</x:v>
      </x:c>
      <x:c r="E40" s="11" t="str">
        <x:v>Oferta</x:v>
      </x:c>
      <x:c r="F40" s="11" t="str">
        <x:v>Publicado na data da consulta</x:v>
      </x:c>
      <x:c r="G40" s="11" t="str">
        <x:v>Centro</x:v>
      </x:c>
      <x:c r="H40" s="11" t="str">
        <x:v>Rua Almirante Lamego, Centro, Florianópolis</x:v>
      </x:c>
      <x:c r="I40" s="11"/>
      <x:c r="J40" s="12" t="n">
        <x:v>1450000</x:v>
      </x:c>
      <x:c r="K40" s="13" t="n">
        <x:v>122</x:v>
      </x:c>
      <x:c r="L40" s="13"/>
      <x:c r="M40" s="12" t="n">
        <x:v>11885.245901639344</x:v>
      </x:c>
      <x:c r="N40" s="11" t="n">
        <x:v>3</x:v>
      </x:c>
      <x:c r="O40" s="11"/>
      <x:c r="P40" s="11" t="n">
        <x:v>3</x:v>
      </x:c>
      <x:c r="Q40" s="11" t="n">
        <x:v>1</x:v>
      </x:c>
      <x:c r="R40" s="12" t="n">
        <x:v>1429</x:v>
      </x:c>
      <x:c r="S40" s="12" t="n">
        <x:v>297</x:v>
      </x:c>
      <x:c r="T40" s="12" t="str">
        <x:v>não informada</x:v>
      </x:c>
      <x:c r="U40" s="12"/>
      <x:c r="V40" s="11"/>
      <x:c r="W40" s="11"/>
      <x:c r="X40" s="11"/>
      <x:c r="Y40" s="11" t="n">
        <x:v>0</x:v>
      </x:c>
      <x:c r="Z40" s="11" t="n">
        <x:v>0</x:v>
      </x:c>
      <x:c r="AA40" s="11" t="n">
        <x:v>0</x:v>
      </x:c>
      <x:c r="AB40" s="11" t="n">
        <x:v>0</x:v>
      </x:c>
      <x:c r="AC40" s="11" t="n">
        <x:v>0</x:v>
      </x:c>
      <x:c r="AD40" s="11" t="n">
        <x:v>0</x:v>
      </x:c>
      <x:c r="AE40" s="11" t="n">
        <x:v>0</x:v>
      </x:c>
      <x:c r="AF40" s="11" t="n">
        <x:v>0</x:v>
      </x:c>
      <x:c r="AG40" s="11"/>
      <x:c r="AH40" s="11" t="n">
        <x:v>0</x:v>
      </x:c>
      <x:c r="AI40" s="11" t="str">
        <x:v>URL não individual</x:v>
      </x:c>
      <x:c r="AJ40" s="11" t="str">
        <x:v>Somente anúncio; confirmar com fonte e vistoria</x:v>
      </x:c>
      <x:c r="AK40" s="11" t="str">
        <x:v>URL é de resultado do portal, pois o índice público não expôs URL individual. Excluir se for exigida URL individual estrita.</x:v>
      </x:c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</x:row>
    <x:row r="41">
      <x:c r="A41" s="16" t="str">
        <x:v>A20</x:v>
      </x:c>
      <x:c r="B41" s="16" t="str">
        <x:v>ZAP Imóveis</x:v>
      </x:c>
      <x:c r="C41" s="17" t="str">
        <x:v>https://www.zapimoveis.com.br/venda/apartamentos/sc%2Bflorianopolis%2B%2Bcentro/2-quartos/</x:v>
      </x:c>
      <x:c r="D41" s="15" t="n">
        <x:v>46278.625</x:v>
      </x:c>
      <x:c r="E41" s="11" t="str">
        <x:v>Oferta</x:v>
      </x:c>
      <x:c r="F41" s="11" t="str">
        <x:v>Publicado na data da consulta</x:v>
      </x:c>
      <x:c r="G41" s="11" t="str">
        <x:v>Centro</x:v>
      </x:c>
      <x:c r="H41" s="11" t="str">
        <x:v>Rua Professor Herminio Jacques, Centro, Florianópolis</x:v>
      </x:c>
      <x:c r="I41" s="11"/>
      <x:c r="J41" s="12" t="n">
        <x:v>1820000</x:v>
      </x:c>
      <x:c r="K41" s="13" t="n">
        <x:v>79</x:v>
      </x:c>
      <x:c r="L41" s="13"/>
      <x:c r="M41" s="12" t="n">
        <x:v>23037.974683544304</x:v>
      </x:c>
      <x:c r="N41" s="11" t="n">
        <x:v>2</x:v>
      </x:c>
      <x:c r="O41" s="11"/>
      <x:c r="P41" s="11" t="n">
        <x:v>2</x:v>
      </x:c>
      <x:c r="Q41" s="11" t="n">
        <x:v>2</x:v>
      </x:c>
      <x:c r="R41" s="12" t="n">
        <x:v>1469</x:v>
      </x:c>
      <x:c r="S41" s="12" t="n">
        <x:v>2274</x:v>
      </x:c>
      <x:c r="T41" s="12" t="str">
        <x:v>não informada</x:v>
      </x:c>
      <x:c r="U41" s="12"/>
      <x:c r="V41" s="11"/>
      <x:c r="W41" s="11"/>
      <x:c r="X41" s="11"/>
      <x:c r="Y41" s="11" t="n">
        <x:v>0</x:v>
      </x:c>
      <x:c r="Z41" s="11" t="n">
        <x:v>0</x:v>
      </x:c>
      <x:c r="AA41" s="11" t="n">
        <x:v>0</x:v>
      </x:c>
      <x:c r="AB41" s="11" t="n">
        <x:v>0</x:v>
      </x:c>
      <x:c r="AC41" s="11" t="n">
        <x:v>0</x:v>
      </x:c>
      <x:c r="AD41" s="11" t="n">
        <x:v>0</x:v>
      </x:c>
      <x:c r="AE41" s="11" t="n">
        <x:v>0</x:v>
      </x:c>
      <x:c r="AF41" s="11" t="n">
        <x:v>0</x:v>
      </x:c>
      <x:c r="AG41" s="11"/>
      <x:c r="AH41" s="11" t="n">
        <x:v>0</x:v>
      </x:c>
      <x:c r="AI41" s="11" t="str">
        <x:v>URL não individual</x:v>
      </x:c>
      <x:c r="AJ41" s="11" t="str">
        <x:v>Somente anúncio; confirmar com fonte e vistoria</x:v>
      </x:c>
      <x:c r="AK41" s="11" t="str">
        <x:v>URL é de resultado do portal, pois o índice público não expôs URL individual. Excluir se for exigida URL individual estrita.</x:v>
      </x:c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</x:row>
    <x:row r="42">
      <x:c r="A42" s="16" t="str">
        <x:v>AUX-762228</x:v>
      </x:c>
      <x:c r="B42" s="16" t="str">
        <x:v>Auxiliadora Predial</x:v>
      </x:c>
      <x:c r="C42" s="17" t="str">
        <x:v>https://www.auxiliadorapredial.com.br/imovel/venda/762228</x:v>
      </x:c>
      <x:c r="D42" s="15" t="n">
        <x:v>46278.625</x:v>
      </x:c>
      <x:c r="E42" s="11" t="str">
        <x:v>Oferta</x:v>
      </x:c>
      <x:c r="F42" s="11" t="str">
        <x:v>Publicado na data da consulta</x:v>
      </x:c>
      <x:c r="G42" s="11" t="str">
        <x:v>Centro</x:v>
      </x:c>
      <x:c r="H42" s="11" t="str">
        <x:v>Rua Ferreira Lima, Centro, Florianópolis</x:v>
      </x:c>
      <x:c r="I42" s="11"/>
      <x:c r="J42" s="12" t="n">
        <x:v>785000</x:v>
      </x:c>
      <x:c r="K42" s="13" t="n">
        <x:v>60</x:v>
      </x:c>
      <x:c r="L42" s="13"/>
      <x:c r="M42" s="12" t="n">
        <x:v>13083.333333333334</x:v>
      </x:c>
      <x:c r="N42" s="11" t="n">
        <x:v>2</x:v>
      </x:c>
      <x:c r="O42" s="11" t="n">
        <x:v>1</x:v>
      </x:c>
      <x:c r="P42" s="11" t="n">
        <x:v>2</x:v>
      </x:c>
      <x:c r="Q42" s="11" t="n">
        <x:v>1</x:v>
      </x:c>
      <x:c r="R42" s="12" t="n">
        <x:v>911</x:v>
      </x:c>
      <x:c r="S42" s="12" t="n">
        <x:v>1369</x:v>
      </x:c>
      <x:c r="T42" s="12" t="str">
        <x:v>anual</x:v>
      </x:c>
      <x:c r="U42" s="12" t="n">
        <x:v>1369</x:v>
      </x:c>
      <x:c r="V42" s="11"/>
      <x:c r="W42" s="11"/>
      <x:c r="X42" s="11" t="str">
        <x:v>Semi-mobiliado</x:v>
      </x:c>
      <x:c r="Y42" s="11" t="n">
        <x:v>0</x:v>
      </x:c>
      <x:c r="Z42" s="11" t="n">
        <x:v>1</x:v>
      </x:c>
      <x:c r="AA42" s="11" t="n">
        <x:v>0</x:v>
      </x:c>
      <x:c r="AB42" s="11" t="n">
        <x:v>0</x:v>
      </x:c>
      <x:c r="AC42" s="11" t="n">
        <x:v>0</x:v>
      </x:c>
      <x:c r="AD42" s="11" t="n">
        <x:v>0</x:v>
      </x:c>
      <x:c r="AE42" s="11" t="n">
        <x:v>1</x:v>
      </x:c>
      <x:c r="AF42" s="11" t="n">
        <x:v>0</x:v>
      </x:c>
      <x:c r="AG42" s="11"/>
      <x:c r="AH42" s="11" t="n">
        <x:v>1</x:v>
      </x:c>
      <x:c r="AI42" s="11"/>
      <x:c r="AJ42" s="11" t="str">
        <x:v>Somente anúncio; confirmar com fonte e vistoria</x:v>
      </x:c>
      <x:c r="AK42" s="11" t="str">
        <x:v>Sacada; churrasqueira a gás; vaga livre e coberta. Valores sujeitos à alteração no anúncio.</x:v>
      </x:c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</x:row>
    <x:row r="43">
      <x:c r="A43" s="16" t="str">
        <x:v>AUX-839613</x:v>
      </x:c>
      <x:c r="B43" s="16" t="str">
        <x:v>Auxiliadora Predial</x:v>
      </x:c>
      <x:c r="C43" s="17" t="str">
        <x:v>https://www.auxiliadorapredial.com.br/imovel/venda/839613</x:v>
      </x:c>
      <x:c r="D43" s="15" t="n">
        <x:v>46278.625</x:v>
      </x:c>
      <x:c r="E43" s="11" t="str">
        <x:v>Oferta</x:v>
      </x:c>
      <x:c r="F43" s="11" t="str">
        <x:v>Publicado na data da consulta</x:v>
      </x:c>
      <x:c r="G43" s="11" t="str">
        <x:v>Centro</x:v>
      </x:c>
      <x:c r="H43" s="11" t="str">
        <x:v>Avenida Hercílio Luz, Centro, Florianópolis</x:v>
      </x:c>
      <x:c r="I43" s="11"/>
      <x:c r="J43" s="12" t="n">
        <x:v>720000</x:v>
      </x:c>
      <x:c r="K43" s="13" t="n">
        <x:v>68</x:v>
      </x:c>
      <x:c r="L43" s="13"/>
      <x:c r="M43" s="12" t="n">
        <x:v>10588.235294117647</x:v>
      </x:c>
      <x:c r="N43" s="11" t="n">
        <x:v>2</x:v>
      </x:c>
      <x:c r="O43" s="11"/>
      <x:c r="P43" s="11" t="n">
        <x:v>1</x:v>
      </x:c>
      <x:c r="Q43" s="11" t="n">
        <x:v>1</x:v>
      </x:c>
      <x:c r="R43" s="12" t="n">
        <x:v>1181</x:v>
      </x:c>
      <x:c r="S43" s="12" t="n">
        <x:v>1708</x:v>
      </x:c>
      <x:c r="T43" s="12" t="str">
        <x:v>anual</x:v>
      </x:c>
      <x:c r="U43" s="12" t="n">
        <x:v>1708</x:v>
      </x:c>
      <x:c r="V43" s="11"/>
      <x:c r="W43" s="11" t="str">
        <x:v>Sim</x:v>
      </x:c>
      <x:c r="X43" s="11"/>
      <x:c r="Y43" s="11" t="n">
        <x:v>0</x:v>
      </x:c>
      <x:c r="Z43" s="11" t="n">
        <x:v>0</x:v>
      </x:c>
      <x:c r="AA43" s="11" t="n">
        <x:v>0</x:v>
      </x:c>
      <x:c r="AB43" s="11" t="n">
        <x:v>0</x:v>
      </x:c>
      <x:c r="AC43" s="11" t="n">
        <x:v>0</x:v>
      </x:c>
      <x:c r="AD43" s="11" t="n">
        <x:v>0</x:v>
      </x:c>
      <x:c r="AE43" s="11" t="n">
        <x:v>1</x:v>
      </x:c>
      <x:c r="AF43" s="11" t="n">
        <x:v>0</x:v>
      </x:c>
      <x:c r="AG43" s="11"/>
      <x:c r="AH43" s="11" t="n">
        <x:v>1</x:v>
      </x:c>
      <x:c r="AI43" s="11"/>
      <x:c r="AJ43" s="11" t="str">
        <x:v>Somente anúncio; confirmar com fonte e vistoria</x:v>
      </x:c>
      <x:c r="AK43" s="11" t="str">
        <x:v>Sol da manhã; piso vinílico; portaria 24 h; dois elevadores.</x:v>
      </x:c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</x:row>
    <x:row r="44">
      <x:c r="A44" s="16" t="str">
        <x:v>AUX-703211</x:v>
      </x:c>
      <x:c r="B44" s="16" t="str">
        <x:v>Auxiliadora Predial</x:v>
      </x:c>
      <x:c r="C44" s="17" t="str">
        <x:v>https://www.auxiliadorapredial.com.br/imovel/venda/703211/apartamento-sc%2Bflorianopolis%2Bcentro</x:v>
      </x:c>
      <x:c r="D44" s="15" t="n">
        <x:v>46278.625</x:v>
      </x:c>
      <x:c r="E44" s="11" t="str">
        <x:v>Oferta</x:v>
      </x:c>
      <x:c r="F44" s="11" t="str">
        <x:v>Publicado na data da consulta</x:v>
      </x:c>
      <x:c r="G44" s="11" t="str">
        <x:v>Centro</x:v>
      </x:c>
      <x:c r="H44" s="11" t="str">
        <x:v>Rua Tenente Silveira, Centro, Florianópolis</x:v>
      </x:c>
      <x:c r="I44" s="11"/>
      <x:c r="J44" s="12" t="n">
        <x:v>750000</x:v>
      </x:c>
      <x:c r="K44" s="13" t="n">
        <x:v>61.96</x:v>
      </x:c>
      <x:c r="L44" s="13"/>
      <x:c r="M44" s="12" t="n">
        <x:v>12104.583602324079</x:v>
      </x:c>
      <x:c r="N44" s="11" t="n">
        <x:v>2</x:v>
      </x:c>
      <x:c r="O44" s="11"/>
      <x:c r="P44" s="11" t="n">
        <x:v>1</x:v>
      </x:c>
      <x:c r="Q44" s="11"/>
      <x:c r="R44" s="12" t="n">
        <x:v>630</x:v>
      </x:c>
      <x:c r="S44" s="12" t="n">
        <x:v>1000</x:v>
      </x:c>
      <x:c r="T44" s="12" t="str">
        <x:v>anual</x:v>
      </x:c>
      <x:c r="U44" s="12" t="n">
        <x:v>1000</x:v>
      </x:c>
      <x:c r="V44" s="11"/>
      <x:c r="W44" s="11" t="str">
        <x:v>Sim</x:v>
      </x:c>
      <x:c r="X44" s="11"/>
      <x:c r="Y44" s="11" t="n">
        <x:v>0</x:v>
      </x:c>
      <x:c r="Z44" s="11" t="n">
        <x:v>0</x:v>
      </x:c>
      <x:c r="AA44" s="11" t="n">
        <x:v>0</x:v>
      </x:c>
      <x:c r="AB44" s="11" t="n">
        <x:v>0</x:v>
      </x:c>
      <x:c r="AC44" s="11" t="n">
        <x:v>0</x:v>
      </x:c>
      <x:c r="AD44" s="11" t="n">
        <x:v>0</x:v>
      </x:c>
      <x:c r="AE44" s="11" t="n">
        <x:v>1</x:v>
      </x:c>
      <x:c r="AF44" s="11" t="n">
        <x:v>0</x:v>
      </x:c>
      <x:c r="AG44" s="11"/>
      <x:c r="AH44" s="11" t="n">
        <x:v>1</x:v>
      </x:c>
      <x:c r="AI44" s="11"/>
      <x:c r="AJ44" s="11" t="str">
        <x:v>Somente anúncio; confirmar com fonte e vistoria</x:v>
      </x:c>
      <x:c r="AK44" s="11" t="str">
        <x:v>Portaria 24 h e bicicletário.</x:v>
      </x:c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</x:row>
    <x:row r="45">
      <x:c r="A45" s="16" t="str">
        <x:v>AUX-784794</x:v>
      </x:c>
      <x:c r="B45" s="16" t="str">
        <x:v>Auxiliadora Predial</x:v>
      </x:c>
      <x:c r="C45" s="17" t="str">
        <x:v>https://www.auxiliadorapredial.com.br/imovel/venda/784794/apartamento-centro-florianopolis-santa-catarina</x:v>
      </x:c>
      <x:c r="D45" s="15" t="n">
        <x:v>46278.625</x:v>
      </x:c>
      <x:c r="E45" s="11" t="str">
        <x:v>Oferta</x:v>
      </x:c>
      <x:c r="F45" s="11" t="str">
        <x:v>Publicado na data da consulta</x:v>
      </x:c>
      <x:c r="G45" s="11" t="str">
        <x:v>Centro</x:v>
      </x:c>
      <x:c r="H45" s="11" t="str">
        <x:v>Rua Professor Herminio Jacques, Centro, Florianópolis</x:v>
      </x:c>
      <x:c r="I45" s="11"/>
      <x:c r="J45" s="12" t="n">
        <x:v>1390000</x:v>
      </x:c>
      <x:c r="K45" s="13" t="n">
        <x:v>87</x:v>
      </x:c>
      <x:c r="L45" s="13"/>
      <x:c r="M45" s="12" t="n">
        <x:v>15977.011494252874</x:v>
      </x:c>
      <x:c r="N45" s="11" t="n">
        <x:v>3</x:v>
      </x:c>
      <x:c r="O45" s="11" t="n">
        <x:v>1</x:v>
      </x:c>
      <x:c r="P45" s="11" t="n">
        <x:v>2</x:v>
      </x:c>
      <x:c r="Q45" s="11" t="n">
        <x:v>2</x:v>
      </x:c>
      <x:c r="R45" s="12" t="n">
        <x:v>1100</x:v>
      </x:c>
      <x:c r="S45" s="12" t="n">
        <x:v>5100</x:v>
      </x:c>
      <x:c r="T45" s="12" t="str">
        <x:v>anual</x:v>
      </x:c>
      <x:c r="U45" s="12" t="n">
        <x:v>5100</x:v>
      </x:c>
      <x:c r="V45" s="11"/>
      <x:c r="W45" s="11" t="str">
        <x:v>Sim</x:v>
      </x:c>
      <x:c r="X45" s="11" t="str">
        <x:v>Semi-mobiliado</x:v>
      </x:c>
      <x:c r="Y45" s="11" t="n">
        <x:v>0</x:v>
      </x:c>
      <x:c r="Z45" s="11" t="n">
        <x:v>1</x:v>
      </x:c>
      <x:c r="AA45" s="11" t="n">
        <x:v>0</x:v>
      </x:c>
      <x:c r="AB45" s="11" t="n">
        <x:v>0</x:v>
      </x:c>
      <x:c r="AC45" s="11" t="n">
        <x:v>0</x:v>
      </x:c>
      <x:c r="AD45" s="11" t="n">
        <x:v>0</x:v>
      </x:c>
      <x:c r="AE45" s="11" t="n">
        <x:v>1</x:v>
      </x:c>
      <x:c r="AF45" s="11" t="n">
        <x:v>0</x:v>
      </x:c>
      <x:c r="AG45" s="11"/>
      <x:c r="AH45" s="11" t="n">
        <x:v>1</x:v>
      </x:c>
      <x:c r="AI45" s="11"/>
      <x:c r="AJ45" s="11" t="str">
        <x:v>Somente anúncio; confirmar com fonte e vistoria</x:v>
      </x:c>
      <x:c r="AK45" s="11" t="str">
        <x:v>Sacada com churrasqueira; vagas cobertas e livres; portaria digital.</x:v>
      </x:c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</x:row>
    <x:row r="46">
      <x:c r="A46" s="16" t="str">
        <x:v>AUX-688638</x:v>
      </x:c>
      <x:c r="B46" s="16" t="str">
        <x:v>Auxiliadora Predial</x:v>
      </x:c>
      <x:c r="C46" s="17" t="str">
        <x:v>https://www.auxiliadorapredial.com.br/imovel/venda/688638/apartamento-sc%2Bflorianopolis%2Bcentro</x:v>
      </x:c>
      <x:c r="D46" s="15" t="n">
        <x:v>46278.625</x:v>
      </x:c>
      <x:c r="E46" s="11" t="str">
        <x:v>Oferta</x:v>
      </x:c>
      <x:c r="F46" s="11" t="str">
        <x:v>Publicado na data da consulta</x:v>
      </x:c>
      <x:c r="G46" s="11" t="str">
        <x:v>Centro</x:v>
      </x:c>
      <x:c r="H46" s="11" t="str">
        <x:v>Rua Tenente Silveira, Centro, Florianópolis</x:v>
      </x:c>
      <x:c r="I46" s="11"/>
      <x:c r="J46" s="12" t="n">
        <x:v>789000</x:v>
      </x:c>
      <x:c r="K46" s="13" t="n">
        <x:v>69</x:v>
      </x:c>
      <x:c r="L46" s="13"/>
      <x:c r="M46" s="12" t="n">
        <x:v>11434.782608695652</x:v>
      </x:c>
      <x:c r="N46" s="11" t="n">
        <x:v>2</x:v>
      </x:c>
      <x:c r="O46" s="11"/>
      <x:c r="P46" s="11" t="n">
        <x:v>1</x:v>
      </x:c>
      <x:c r="Q46" s="11" t="n">
        <x:v>1</x:v>
      </x:c>
      <x:c r="R46" s="12" t="n">
        <x:v>950</x:v>
      </x:c>
      <x:c r="S46" s="12" t="n">
        <x:v>1300</x:v>
      </x:c>
      <x:c r="T46" s="12" t="str">
        <x:v>anual</x:v>
      </x:c>
      <x:c r="U46" s="12" t="n">
        <x:v>1300</x:v>
      </x:c>
      <x:c r="V46" s="11" t="str">
        <x:v>alto</x:v>
      </x:c>
      <x:c r="W46" s="11"/>
      <x:c r="X46" s="11"/>
      <x:c r="Y46" s="11" t="n">
        <x:v>0</x:v>
      </x:c>
      <x:c r="Z46" s="11" t="n">
        <x:v>0</x:v>
      </x:c>
      <x:c r="AA46" s="11" t="n">
        <x:v>0</x:v>
      </x:c>
      <x:c r="AB46" s="11" t="n">
        <x:v>0</x:v>
      </x:c>
      <x:c r="AC46" s="11" t="n">
        <x:v>0</x:v>
      </x:c>
      <x:c r="AD46" s="11" t="n">
        <x:v>0</x:v>
      </x:c>
      <x:c r="AE46" s="11" t="n">
        <x:v>1</x:v>
      </x:c>
      <x:c r="AF46" s="11" t="n">
        <x:v>0</x:v>
      </x:c>
      <x:c r="AG46" s="11"/>
      <x:c r="AH46" s="11" t="n">
        <x:v>1</x:v>
      </x:c>
      <x:c r="AI46" s="11"/>
      <x:c r="AJ46" s="11" t="str">
        <x:v>Somente anúncio; confirmar com fonte e vistoria</x:v>
      </x:c>
      <x:c r="AK46" s="11" t="str">
        <x:v>Sacada fechada; vaga livre; portaria 24 h.</x:v>
      </x:c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</x:row>
    <x:row r="47">
      <x:c r="A47" s="16" t="str">
        <x:v>AUX-351654</x:v>
      </x:c>
      <x:c r="B47" s="16" t="str">
        <x:v>Auxiliadora Predial</x:v>
      </x:c>
      <x:c r="C47" s="17" t="str">
        <x:v>https://www.auxiliadorapredial.com.br/imovel/venda/351654/apartamento-sc%2Bflorianopolis%2Bcentro</x:v>
      </x:c>
      <x:c r="D47" s="15" t="n">
        <x:v>46278.625</x:v>
      </x:c>
      <x:c r="E47" s="11" t="str">
        <x:v>Oferta</x:v>
      </x:c>
      <x:c r="F47" s="11" t="str">
        <x:v>Publicado na data da consulta</x:v>
      </x:c>
      <x:c r="G47" s="11" t="str">
        <x:v>Centro</x:v>
      </x:c>
      <x:c r="H47" s="11" t="str">
        <x:v>Avenida Mauro Ramos, Centro, Florianópolis</x:v>
      </x:c>
      <x:c r="I47" s="11"/>
      <x:c r="J47" s="12" t="n">
        <x:v>945000</x:v>
      </x:c>
      <x:c r="K47" s="13" t="n">
        <x:v>103</x:v>
      </x:c>
      <x:c r="L47" s="13"/>
      <x:c r="M47" s="12" t="n">
        <x:v>9174.757281553399</x:v>
      </x:c>
      <x:c r="N47" s="11" t="n">
        <x:v>3</x:v>
      </x:c>
      <x:c r="O47" s="11" t="n">
        <x:v>1</x:v>
      </x:c>
      <x:c r="P47" s="11" t="n">
        <x:v>4</x:v>
      </x:c>
      <x:c r="Q47" s="11" t="n">
        <x:v>1</x:v>
      </x:c>
      <x:c r="R47" s="12" t="n">
        <x:v>600</x:v>
      </x:c>
      <x:c r="S47" s="12" t="n">
        <x:v>2000</x:v>
      </x:c>
      <x:c r="T47" s="12" t="str">
        <x:v>anual</x:v>
      </x:c>
      <x:c r="U47" s="12" t="n">
        <x:v>2000</x:v>
      </x:c>
      <x:c r="V47" s="11"/>
      <x:c r="W47" s="11" t="str">
        <x:v>Sim</x:v>
      </x:c>
      <x:c r="X47" s="11" t="str">
        <x:v>Mobiliado; reformado</x:v>
      </x:c>
      <x:c r="Y47" s="11" t="n">
        <x:v>0</x:v>
      </x:c>
      <x:c r="Z47" s="11" t="n">
        <x:v>1</x:v>
      </x:c>
      <x:c r="AA47" s="11" t="n">
        <x:v>1</x:v>
      </x:c>
      <x:c r="AB47" s="11" t="n">
        <x:v>0</x:v>
      </x:c>
      <x:c r="AC47" s="11" t="n">
        <x:v>0</x:v>
      </x:c>
      <x:c r="AD47" s="11" t="n">
        <x:v>0</x:v>
      </x:c>
      <x:c r="AE47" s="11" t="n">
        <x:v>1</x:v>
      </x:c>
      <x:c r="AF47" s="11" t="n">
        <x:v>0</x:v>
      </x:c>
      <x:c r="AG47" s="11"/>
      <x:c r="AH47" s="11" t="n">
        <x:v>1</x:v>
      </x:c>
      <x:c r="AI47" s="11"/>
      <x:c r="AJ47" s="11" t="str">
        <x:v>Somente anúncio; confirmar com fonte e vistoria</x:v>
      </x:c>
      <x:c r="AK47" s="11" t="str">
        <x:v>Dependência de empregado.</x:v>
      </x:c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</x:row>
    <x:row r="48">
      <x:c r="A48" s="16" t="str">
        <x:v>AUX-590694</x:v>
      </x:c>
      <x:c r="B48" s="16" t="str">
        <x:v>Auxiliadora Predial</x:v>
      </x:c>
      <x:c r="C48" s="17" t="str">
        <x:v>https://www.auxiliadorapredial.com.br/imovel/venda/590694/apartamento-centro-florianopolis-santa-catarina</x:v>
      </x:c>
      <x:c r="D48" s="15" t="n">
        <x:v>46278.625</x:v>
      </x:c>
      <x:c r="E48" s="11" t="str">
        <x:v>Oferta</x:v>
      </x:c>
      <x:c r="F48" s="11" t="str">
        <x:v>Publicado na data da consulta</x:v>
      </x:c>
      <x:c r="G48" s="11" t="str">
        <x:v>Centro</x:v>
      </x:c>
      <x:c r="H48" s="11" t="str">
        <x:v>Avenida Hercílio Luz, Centro, Florianópolis</x:v>
      </x:c>
      <x:c r="I48" s="11"/>
      <x:c r="J48" s="12" t="n">
        <x:v>758800</x:v>
      </x:c>
      <x:c r="K48" s="13" t="n">
        <x:v>93.69</x:v>
      </x:c>
      <x:c r="L48" s="13"/>
      <x:c r="M48" s="12" t="n">
        <x:v>8099.050058704238</x:v>
      </x:c>
      <x:c r="N48" s="11" t="n">
        <x:v>3</x:v>
      </x:c>
      <x:c r="O48" s="11" t="n">
        <x:v>1</x:v>
      </x:c>
      <x:c r="P48" s="11" t="n">
        <x:v>2</x:v>
      </x:c>
      <x:c r="Q48" s="11"/>
      <x:c r="R48" s="12" t="n">
        <x:v>894</x:v>
      </x:c>
      <x:c r="S48" s="12" t="n">
        <x:v>230</x:v>
      </x:c>
      <x:c r="T48" s="12" t="str">
        <x:v>anual</x:v>
      </x:c>
      <x:c r="U48" s="12" t="n">
        <x:v>230</x:v>
      </x:c>
      <x:c r="V48" s="11"/>
      <x:c r="W48" s="11" t="str">
        <x:v>Sim</x:v>
      </x:c>
      <x:c r="X48" s="11"/>
      <x:c r="Y48" s="11" t="n">
        <x:v>0</x:v>
      </x:c>
      <x:c r="Z48" s="11" t="n">
        <x:v>0</x:v>
      </x:c>
      <x:c r="AA48" s="11" t="n">
        <x:v>0</x:v>
      </x:c>
      <x:c r="AB48" s="11" t="n">
        <x:v>0</x:v>
      </x:c>
      <x:c r="AC48" s="11" t="n">
        <x:v>0</x:v>
      </x:c>
      <x:c r="AD48" s="11" t="n">
        <x:v>0</x:v>
      </x:c>
      <x:c r="AE48" s="11" t="n">
        <x:v>1</x:v>
      </x:c>
      <x:c r="AF48" s="11" t="n">
        <x:v>0</x:v>
      </x:c>
      <x:c r="AG48" s="11"/>
      <x:c r="AH48" s="11" t="n">
        <x:v>1</x:v>
      </x:c>
      <x:c r="AI48" s="11"/>
      <x:c r="AJ48" s="11" t="str">
        <x:v>Somente anúncio; confirmar com fonte e vistoria</x:v>
      </x:c>
      <x:c r="AK48" s="11" t="str">
        <x:v>Portaria 24 h; dois elevadores; salão de festas.</x:v>
      </x:c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</x:row>
    <x:row r="49">
      <x:c r="A49" s="16" t="str">
        <x:v>AUX-771095</x:v>
      </x:c>
      <x:c r="B49" s="16" t="str">
        <x:v>Auxiliadora Predial</x:v>
      </x:c>
      <x:c r="C49" s="17" t="str">
        <x:v>https://www.auxiliadorapredial.com.br/imovel/venda/771095/apartamento-sc%2Bflorianopolis%2Bcentro</x:v>
      </x:c>
      <x:c r="D49" s="15" t="n">
        <x:v>46278.625</x:v>
      </x:c>
      <x:c r="E49" s="11" t="str">
        <x:v>Oferta</x:v>
      </x:c>
      <x:c r="F49" s="11" t="str">
        <x:v>Publicado na data da consulta</x:v>
      </x:c>
      <x:c r="G49" s="11" t="str">
        <x:v>Centro</x:v>
      </x:c>
      <x:c r="H49" s="11" t="str">
        <x:v>Alameda Adolfo Konder, Centro, Florianópolis</x:v>
      </x:c>
      <x:c r="I49" s="11"/>
      <x:c r="J49" s="12" t="n">
        <x:v>2495000</x:v>
      </x:c>
      <x:c r="K49" s="13" t="n">
        <x:v>142.77</x:v>
      </x:c>
      <x:c r="L49" s="13"/>
      <x:c r="M49" s="12" t="n">
        <x:v>17475.66015269314</x:v>
      </x:c>
      <x:c r="N49" s="11" t="n">
        <x:v>3</x:v>
      </x:c>
      <x:c r="O49" s="11" t="n">
        <x:v>1</x:v>
      </x:c>
      <x:c r="P49" s="11" t="n">
        <x:v>3</x:v>
      </x:c>
      <x:c r="Q49" s="11" t="n">
        <x:v>2</x:v>
      </x:c>
      <x:c r="R49" s="12" t="n">
        <x:v>0</x:v>
      </x:c>
      <x:c r="S49" s="12" t="n">
        <x:v>4129</x:v>
      </x:c>
      <x:c r="T49" s="12" t="str">
        <x:v>anual</x:v>
      </x:c>
      <x:c r="U49" s="12" t="n">
        <x:v>4129</x:v>
      </x:c>
      <x:c r="V49" s="11"/>
      <x:c r="W49" s="11" t="str">
        <x:v>Sim</x:v>
      </x:c>
      <x:c r="X49" s="11"/>
      <x:c r="Y49" s="11" t="n">
        <x:v>0</x:v>
      </x:c>
      <x:c r="Z49" s="11" t="n">
        <x:v>0</x:v>
      </x:c>
      <x:c r="AA49" s="11" t="n">
        <x:v>0</x:v>
      </x:c>
      <x:c r="AB49" s="11" t="n">
        <x:v>0</x:v>
      </x:c>
      <x:c r="AC49" s="11" t="n">
        <x:v>0</x:v>
      </x:c>
      <x:c r="AD49" s="11" t="n">
        <x:v>0</x:v>
      </x:c>
      <x:c r="AE49" s="11" t="n">
        <x:v>1</x:v>
      </x:c>
      <x:c r="AF49" s="11" t="n">
        <x:v>0</x:v>
      </x:c>
      <x:c r="AG49" s="11"/>
      <x:c r="AH49" s="11" t="n">
        <x:v>1</x:v>
      </x:c>
      <x:c r="AI49" s="11"/>
      <x:c r="AJ49" s="11" t="str">
        <x:v>Somente anúncio; confirmar com fonte e vistoria</x:v>
      </x:c>
      <x:c r="AK49" s="11" t="str">
        <x:v>Vista para Ponte Hercílio Luz; vagas livres; hobby box. Condomínio informado como R$ 0 no anúncio.</x:v>
      </x:c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</x:row>
    <x:row r="50">
      <x:c r="A50" s="16" t="str">
        <x:v>AUX-765717</x:v>
      </x:c>
      <x:c r="B50" s="16" t="str">
        <x:v>Auxiliadora Predial</x:v>
      </x:c>
      <x:c r="C50" s="17" t="str">
        <x:v>https://www.auxiliadorapredial.com.br/imovel/venda/765717/apartamento-sc%2Bflorianopolis%2Bcentro</x:v>
      </x:c>
      <x:c r="D50" s="15" t="n">
        <x:v>46278.625</x:v>
      </x:c>
      <x:c r="E50" s="11" t="str">
        <x:v>Oferta</x:v>
      </x:c>
      <x:c r="F50" s="11" t="str">
        <x:v>Publicado na data da consulta</x:v>
      </x:c>
      <x:c r="G50" s="11" t="str">
        <x:v>Centro</x:v>
      </x:c>
      <x:c r="H50" s="11" t="str">
        <x:v>Avenida Mauro Ramos, Centro, Florianópolis</x:v>
      </x:c>
      <x:c r="I50" s="11"/>
      <x:c r="J50" s="12" t="n">
        <x:v>570000</x:v>
      </x:c>
      <x:c r="K50" s="13" t="n">
        <x:v>70</x:v>
      </x:c>
      <x:c r="L50" s="13"/>
      <x:c r="M50" s="12" t="n">
        <x:v>8142.857142857143</x:v>
      </x:c>
      <x:c r="N50" s="11" t="n">
        <x:v>2</x:v>
      </x:c>
      <x:c r="O50" s="11" t="n">
        <x:v>1</x:v>
      </x:c>
      <x:c r="P50" s="11" t="n">
        <x:v>2</x:v>
      </x:c>
      <x:c r="Q50" s="11" t="n">
        <x:v>1</x:v>
      </x:c>
      <x:c r="R50" s="12" t="n">
        <x:v>1023</x:v>
      </x:c>
      <x:c r="S50" s="12" t="n">
        <x:v>1800</x:v>
      </x:c>
      <x:c r="T50" s="12" t="str">
        <x:v>anual</x:v>
      </x:c>
      <x:c r="U50" s="12" t="n">
        <x:v>1800</x:v>
      </x:c>
      <x:c r="V50" s="11"/>
      <x:c r="W50" s="11" t="str">
        <x:v>Sim</x:v>
      </x:c>
      <x:c r="X50" s="11" t="str">
        <x:v>Semi-mobiliado</x:v>
      </x:c>
      <x:c r="Y50" s="11" t="n">
        <x:v>0</x:v>
      </x:c>
      <x:c r="Z50" s="11" t="n">
        <x:v>1</x:v>
      </x:c>
      <x:c r="AA50" s="11" t="n">
        <x:v>0</x:v>
      </x:c>
      <x:c r="AB50" s="11" t="n">
        <x:v>0</x:v>
      </x:c>
      <x:c r="AC50" s="11" t="n">
        <x:v>0</x:v>
      </x:c>
      <x:c r="AD50" s="11" t="n">
        <x:v>0</x:v>
      </x:c>
      <x:c r="AE50" s="11" t="n">
        <x:v>1</x:v>
      </x:c>
      <x:c r="AF50" s="11" t="n">
        <x:v>0</x:v>
      </x:c>
      <x:c r="AG50" s="11"/>
      <x:c r="AH50" s="11" t="n">
        <x:v>1</x:v>
      </x:c>
      <x:c r="AI50" s="11"/>
      <x:c r="AJ50" s="11" t="str">
        <x:v>Somente anúncio; confirmar com fonte e vistoria</x:v>
      </x:c>
      <x:c r="AK50" s="11" t="str">
        <x:v>Vaga coberta; posição solar norte; portaria 24 h; piscina.</x:v>
      </x:c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</x:row>
    <x:row r="51">
      <x:c r="A51" s="16" t="str">
        <x:v>AUX-637301</x:v>
      </x:c>
      <x:c r="B51" s="16" t="str">
        <x:v>Auxiliadora Predial</x:v>
      </x:c>
      <x:c r="C51" s="17" t="str">
        <x:v>https://www.auxiliadorapredial.com.br/imovel/venda/637301/apartamento-centro-florianopolis-santa-catarina</x:v>
      </x:c>
      <x:c r="D51" s="15" t="n">
        <x:v>46278.625</x:v>
      </x:c>
      <x:c r="E51" s="11" t="str">
        <x:v>Oferta</x:v>
      </x:c>
      <x:c r="F51" s="11" t="str">
        <x:v>Publicado na data da consulta</x:v>
      </x:c>
      <x:c r="G51" s="11" t="str">
        <x:v>Centro</x:v>
      </x:c>
      <x:c r="H51" s="11" t="str">
        <x:v>Rua Tenente Silveira, Centro, Florianópolis</x:v>
      </x:c>
      <x:c r="I51" s="11"/>
      <x:c r="J51" s="12" t="n">
        <x:v>955000</x:v>
      </x:c>
      <x:c r="K51" s="13" t="n">
        <x:v>122</x:v>
      </x:c>
      <x:c r="L51" s="13"/>
      <x:c r="M51" s="12" t="n">
        <x:v>7827.868852459016</x:v>
      </x:c>
      <x:c r="N51" s="11" t="n">
        <x:v>3</x:v>
      </x:c>
      <x:c r="O51" s="11" t="n">
        <x:v>1</x:v>
      </x:c>
      <x:c r="P51" s="11" t="n">
        <x:v>3</x:v>
      </x:c>
      <x:c r="Q51" s="11" t="n">
        <x:v>1</x:v>
      </x:c>
      <x:c r="R51" s="12" t="n">
        <x:v>750</x:v>
      </x:c>
      <x:c r="S51" s="12" t="n">
        <x:v>1800</x:v>
      </x:c>
      <x:c r="T51" s="12" t="str">
        <x:v>anual</x:v>
      </x:c>
      <x:c r="U51" s="12" t="n">
        <x:v>1800</x:v>
      </x:c>
      <x:c r="V51" s="11"/>
      <x:c r="W51" s="11" t="str">
        <x:v>Sim</x:v>
      </x:c>
      <x:c r="X51" s="11"/>
      <x:c r="Y51" s="11" t="n">
        <x:v>0</x:v>
      </x:c>
      <x:c r="Z51" s="11" t="n">
        <x:v>0</x:v>
      </x:c>
      <x:c r="AA51" s="11" t="n">
        <x:v>0</x:v>
      </x:c>
      <x:c r="AB51" s="11" t="n">
        <x:v>0</x:v>
      </x:c>
      <x:c r="AC51" s="11" t="n">
        <x:v>0</x:v>
      </x:c>
      <x:c r="AD51" s="11" t="n">
        <x:v>0</x:v>
      </x:c>
      <x:c r="AE51" s="11" t="n">
        <x:v>1</x:v>
      </x:c>
      <x:c r="AF51" s="11" t="n">
        <x:v>0</x:v>
      </x:c>
      <x:c r="AG51" s="11"/>
      <x:c r="AH51" s="11" t="n">
        <x:v>1</x:v>
      </x:c>
      <x:c r="AI51" s="11"/>
      <x:c r="AJ51" s="11" t="str">
        <x:v>Somente anúncio; confirmar com fonte e vistoria</x:v>
      </x:c>
      <x:c r="AK51" s="11" t="str">
        <x:v>Duas sacadas; elevador; zelador.</x:v>
      </x:c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</x:row>
    <x:row r="52">
      <x:c r="A52" s="16" t="str">
        <x:v>AUX-772119</x:v>
      </x:c>
      <x:c r="B52" s="16" t="str">
        <x:v>Auxiliadora Predial</x:v>
      </x:c>
      <x:c r="C52" s="17" t="str">
        <x:v>https://www.auxiliadorapredial.com.br/imovel/venda/772119/apartamento-sc%2Bflorianopolis%2Bcentro</x:v>
      </x:c>
      <x:c r="D52" s="15" t="n">
        <x:v>46278.625</x:v>
      </x:c>
      <x:c r="E52" s="11" t="str">
        <x:v>Oferta</x:v>
      </x:c>
      <x:c r="F52" s="11" t="str">
        <x:v>Publicado na data da consulta</x:v>
      </x:c>
      <x:c r="G52" s="11" t="str">
        <x:v>Centro</x:v>
      </x:c>
      <x:c r="H52" s="11" t="str">
        <x:v>Rua Araújo Figueiredo, Centro, Florianópolis</x:v>
      </x:c>
      <x:c r="I52" s="11"/>
      <x:c r="J52" s="12" t="n">
        <x:v>690000</x:v>
      </x:c>
      <x:c r="K52" s="13" t="n">
        <x:v>80</x:v>
      </x:c>
      <x:c r="L52" s="13"/>
      <x:c r="M52" s="12" t="n">
        <x:v>8625</x:v>
      </x:c>
      <x:c r="N52" s="11" t="n">
        <x:v>2</x:v>
      </x:c>
      <x:c r="O52" s="11"/>
      <x:c r="P52" s="11" t="n">
        <x:v>2</x:v>
      </x:c>
      <x:c r="Q52" s="11" t="n">
        <x:v>1</x:v>
      </x:c>
      <x:c r="R52" s="12" t="n">
        <x:v>0</x:v>
      </x:c>
      <x:c r="S52" s="12" t="n">
        <x:v>1461</x:v>
      </x:c>
      <x:c r="T52" s="12" t="str">
        <x:v>anual</x:v>
      </x:c>
      <x:c r="U52" s="12" t="n">
        <x:v>1461</x:v>
      </x:c>
      <x:c r="V52" s="11" t="n">
        <x:v>4</x:v>
      </x:c>
      <x:c r="W52" s="11" t="str">
        <x:v>Sim</x:v>
      </x:c>
      <x:c r="X52" s="11" t="str">
        <x:v>Reformado; semi-mobiliado</x:v>
      </x:c>
      <x:c r="Y52" s="11" t="n">
        <x:v>0</x:v>
      </x:c>
      <x:c r="Z52" s="11" t="n">
        <x:v>1</x:v>
      </x:c>
      <x:c r="AA52" s="11" t="n">
        <x:v>1</x:v>
      </x:c>
      <x:c r="AB52" s="11" t="n">
        <x:v>0</x:v>
      </x:c>
      <x:c r="AC52" s="11" t="n">
        <x:v>0</x:v>
      </x:c>
      <x:c r="AD52" s="11" t="n">
        <x:v>0</x:v>
      </x:c>
      <x:c r="AE52" s="11" t="n">
        <x:v>1</x:v>
      </x:c>
      <x:c r="AF52" s="11" t="n">
        <x:v>0</x:v>
      </x:c>
      <x:c r="AG52" s="11"/>
      <x:c r="AH52" s="11" t="n">
        <x:v>1</x:v>
      </x:c>
      <x:c r="AI52" s="11"/>
      <x:c r="AJ52" s="11" t="str">
        <x:v>Somente anúncio; confirmar com fonte e vistoria</x:v>
      </x:c>
      <x:c r="AK52" s="11" t="str">
        <x:v>Dependência de empregada; portaria 24 h. Condomínio informado como R$ 0 no anúncio.</x:v>
      </x:c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</x:row>
    <x:row r="53">
      <x:c r="A53" s="16" t="str">
        <x:v>AUX-414772</x:v>
      </x:c>
      <x:c r="B53" s="16" t="str">
        <x:v>Auxiliadora Predial</x:v>
      </x:c>
      <x:c r="C53" s="17" t="str">
        <x:v>https://www.auxiliadorapredial.com.br/imovel/venda/414772/apartamento-sc%2Bflorianopolis%2Bcentro</x:v>
      </x:c>
      <x:c r="D53" s="15" t="n">
        <x:v>46278.625</x:v>
      </x:c>
      <x:c r="E53" s="11" t="str">
        <x:v>Oferta</x:v>
      </x:c>
      <x:c r="F53" s="11" t="str">
        <x:v>Publicado na data da consulta</x:v>
      </x:c>
      <x:c r="G53" s="11" t="str">
        <x:v>Centro</x:v>
      </x:c>
      <x:c r="H53" s="11" t="str">
        <x:v>Avenida Trompowsky, Centro, Florianópolis</x:v>
      </x:c>
      <x:c r="I53" s="11"/>
      <x:c r="J53" s="12" t="n">
        <x:v>2630000</x:v>
      </x:c>
      <x:c r="K53" s="13" t="n">
        <x:v>119</x:v>
      </x:c>
      <x:c r="L53" s="13"/>
      <x:c r="M53" s="12" t="n">
        <x:v>22100.840336134454</x:v>
      </x:c>
      <x:c r="N53" s="11" t="n">
        <x:v>3</x:v>
      </x:c>
      <x:c r="O53" s="11" t="n">
        <x:v>3</x:v>
      </x:c>
      <x:c r="P53" s="11" t="n">
        <x:v>5</x:v>
      </x:c>
      <x:c r="Q53" s="11" t="n">
        <x:v>3</x:v>
      </x:c>
      <x:c r="R53" s="12" t="n">
        <x:v>1880</x:v>
      </x:c>
      <x:c r="S53" s="12" t="n">
        <x:v>4776</x:v>
      </x:c>
      <x:c r="T53" s="12" t="str">
        <x:v>anual</x:v>
      </x:c>
      <x:c r="U53" s="12" t="n">
        <x:v>4776</x:v>
      </x:c>
      <x:c r="V53" s="11"/>
      <x:c r="W53" s="11" t="str">
        <x:v>Sim</x:v>
      </x:c>
      <x:c r="X53" s="11" t="str">
        <x:v>Móveis sob medida</x:v>
      </x:c>
      <x:c r="Y53" s="11" t="n">
        <x:v>0</x:v>
      </x:c>
      <x:c r="Z53" s="11" t="n">
        <x:v>0</x:v>
      </x:c>
      <x:c r="AA53" s="11" t="n">
        <x:v>0</x:v>
      </x:c>
      <x:c r="AB53" s="11" t="n">
        <x:v>0</x:v>
      </x:c>
      <x:c r="AC53" s="11" t="n">
        <x:v>0</x:v>
      </x:c>
      <x:c r="AD53" s="11" t="n">
        <x:v>0</x:v>
      </x:c>
      <x:c r="AE53" s="11" t="n">
        <x:v>1</x:v>
      </x:c>
      <x:c r="AF53" s="11" t="n">
        <x:v>0</x:v>
      </x:c>
      <x:c r="AG53" s="11"/>
      <x:c r="AH53" s="11" t="n">
        <x:v>1</x:v>
      </x:c>
      <x:c r="AI53" s="11"/>
      <x:c r="AJ53" s="11" t="str">
        <x:v>Somente anúncio; confirmar com fonte e vistoria</x:v>
      </x:c>
      <x:c r="AK53" s="11" t="str">
        <x:v>1 suíte e 2 demi-suítes; segurança 24 h.</x:v>
      </x:c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</x:row>
    <x:row r="54">
      <x:c r="A54" s="16" t="str">
        <x:v>AUX-750337</x:v>
      </x:c>
      <x:c r="B54" s="16" t="str">
        <x:v>Auxiliadora Predial</x:v>
      </x:c>
      <x:c r="C54" s="17" t="str">
        <x:v>https://www.auxiliadorapredial.com.br/imovel/venda/750337/apartamento-sc%2Bflorianopolis%2Bcentro</x:v>
      </x:c>
      <x:c r="D54" s="15" t="n">
        <x:v>46278.625</x:v>
      </x:c>
      <x:c r="E54" s="11" t="str">
        <x:v>Oferta</x:v>
      </x:c>
      <x:c r="F54" s="11" t="str">
        <x:v>Publicado na data da consulta</x:v>
      </x:c>
      <x:c r="G54" s="11" t="str">
        <x:v>Centro</x:v>
      </x:c>
      <x:c r="H54" s="11" t="str">
        <x:v>Rua Desembargador Arno Hoeschl, Centro, Florianópolis</x:v>
      </x:c>
      <x:c r="I54" s="11"/>
      <x:c r="J54" s="12" t="n">
        <x:v>4300000</x:v>
      </x:c>
      <x:c r="K54" s="13" t="n">
        <x:v>138.92</x:v>
      </x:c>
      <x:c r="L54" s="13"/>
      <x:c r="M54" s="12" t="n">
        <x:v>30953.06651310107</x:v>
      </x:c>
      <x:c r="N54" s="11" t="n">
        <x:v>3</x:v>
      </x:c>
      <x:c r="O54" s="11" t="n">
        <x:v>3</x:v>
      </x:c>
      <x:c r="P54" s="11" t="n">
        <x:v>4</x:v>
      </x:c>
      <x:c r="Q54" s="11" t="n">
        <x:v>2</x:v>
      </x:c>
      <x:c r="R54" s="12" t="n">
        <x:v>1883</x:v>
      </x:c>
      <x:c r="S54" s="12" t="n">
        <x:v>6595</x:v>
      </x:c>
      <x:c r="T54" s="12" t="str">
        <x:v>anual</x:v>
      </x:c>
      <x:c r="U54" s="12" t="n">
        <x:v>6595</x:v>
      </x:c>
      <x:c r="V54" s="11"/>
      <x:c r="W54" s="11"/>
      <x:c r="X54" s="11" t="str">
        <x:v>Semi-mobiliado; alto padrão</x:v>
      </x:c>
      <x:c r="Y54" s="11" t="n">
        <x:v>0</x:v>
      </x:c>
      <x:c r="Z54" s="11" t="n">
        <x:v>1</x:v>
      </x:c>
      <x:c r="AA54" s="11" t="n">
        <x:v>0</x:v>
      </x:c>
      <x:c r="AB54" s="11" t="n">
        <x:v>1</x:v>
      </x:c>
      <x:c r="AC54" s="11" t="n">
        <x:v>0</x:v>
      </x:c>
      <x:c r="AD54" s="11" t="n">
        <x:v>1</x:v>
      </x:c>
      <x:c r="AE54" s="11" t="n">
        <x:v>1</x:v>
      </x:c>
      <x:c r="AF54" s="11" t="n">
        <x:v>0</x:v>
      </x:c>
      <x:c r="AG54" s="11"/>
      <x:c r="AH54" s="11" t="n">
        <x:v>1</x:v>
      </x:c>
      <x:c r="AI54" s="11"/>
      <x:c r="AJ54" s="11" t="str">
        <x:v>Somente anúncio; confirmar com fonte e vistoria</x:v>
      </x:c>
      <x:c r="AK54" s="11" t="str">
        <x:v>1 suíte e 2 demi-suítes; sacada com churrasqueira; vista mar.</x:v>
      </x:c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</x:row>
    <x:row r="55">
      <x:c r="A55" s="16" t="str">
        <x:v>AUX-761322</x:v>
      </x:c>
      <x:c r="B55" s="16" t="str">
        <x:v>Auxiliadora Predial</x:v>
      </x:c>
      <x:c r="C55" s="17" t="str">
        <x:v>https://www.auxiliadorapredial.com.br/imovel/venda/761322/apartamento-sc%2Bflorianopolis%2Bcentro</x:v>
      </x:c>
      <x:c r="D55" s="15" t="n">
        <x:v>46278.625</x:v>
      </x:c>
      <x:c r="E55" s="11" t="str">
        <x:v>Oferta</x:v>
      </x:c>
      <x:c r="F55" s="11" t="str">
        <x:v>Publicado na data da consulta</x:v>
      </x:c>
      <x:c r="G55" s="11" t="str">
        <x:v>Centro</x:v>
      </x:c>
      <x:c r="H55" s="11" t="str">
        <x:v>Avenida Hercílio Luz, Centro, Florianópolis</x:v>
      </x:c>
      <x:c r="I55" s="11"/>
      <x:c r="J55" s="12" t="n">
        <x:v>895000</x:v>
      </x:c>
      <x:c r="K55" s="13" t="n">
        <x:v>93.69</x:v>
      </x:c>
      <x:c r="L55" s="13"/>
      <x:c r="M55" s="12" t="n">
        <x:v>9552.780446152205</x:v>
      </x:c>
      <x:c r="N55" s="11" t="n">
        <x:v>3</x:v>
      </x:c>
      <x:c r="O55" s="11" t="n">
        <x:v>1</x:v>
      </x:c>
      <x:c r="P55" s="11" t="n">
        <x:v>3</x:v>
      </x:c>
      <x:c r="Q55" s="11" t="n">
        <x:v>1</x:v>
      </x:c>
      <x:c r="R55" s="12" t="n">
        <x:v>1100</x:v>
      </x:c>
      <x:c r="S55" s="12" t="n">
        <x:v>2795</x:v>
      </x:c>
      <x:c r="T55" s="12" t="str">
        <x:v>anual</x:v>
      </x:c>
      <x:c r="U55" s="12" t="n">
        <x:v>2795</x:v>
      </x:c>
      <x:c r="V55" s="11" t="str">
        <x:v>alto</x:v>
      </x:c>
      <x:c r="W55" s="11" t="str">
        <x:v>Sim</x:v>
      </x:c>
      <x:c r="X55" s="11"/>
      <x:c r="Y55" s="11" t="n">
        <x:v>0</x:v>
      </x:c>
      <x:c r="Z55" s="11" t="n">
        <x:v>0</x:v>
      </x:c>
      <x:c r="AA55" s="11" t="n">
        <x:v>0</x:v>
      </x:c>
      <x:c r="AB55" s="11" t="n">
        <x:v>0</x:v>
      </x:c>
      <x:c r="AC55" s="11" t="n">
        <x:v>0</x:v>
      </x:c>
      <x:c r="AD55" s="11" t="n">
        <x:v>0</x:v>
      </x:c>
      <x:c r="AE55" s="11" t="n">
        <x:v>1</x:v>
      </x:c>
      <x:c r="AF55" s="11" t="n">
        <x:v>0</x:v>
      </x:c>
      <x:c r="AG55" s="11"/>
      <x:c r="AH55" s="11" t="n">
        <x:v>1</x:v>
      </x:c>
      <x:c r="AI55" s="11"/>
      <x:c r="AJ55" s="11" t="str">
        <x:v>Somente anúncio; confirmar com fonte e vistoria</x:v>
      </x:c>
      <x:c r="AK55" s="11" t="str">
        <x:v>Vista livre; vaga livre e coberta; portaria 24 h.</x:v>
      </x:c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</x:row>
    <x:row r="56">
      <x:c r="A56" s="16" t="str">
        <x:v>AUX-689273</x:v>
      </x:c>
      <x:c r="B56" s="16" t="str">
        <x:v>Auxiliadora Predial</x:v>
      </x:c>
      <x:c r="C56" s="17" t="str">
        <x:v>https://www.auxiliadorapredial.com.br/imovel/venda/689273/apartamento-sc%2Bflorianopolis%2Bcentro</x:v>
      </x:c>
      <x:c r="D56" s="15" t="n">
        <x:v>46278.625</x:v>
      </x:c>
      <x:c r="E56" s="11" t="str">
        <x:v>Oferta</x:v>
      </x:c>
      <x:c r="F56" s="11" t="str">
        <x:v>Publicado na data da consulta</x:v>
      </x:c>
      <x:c r="G56" s="11" t="str">
        <x:v>Centro</x:v>
      </x:c>
      <x:c r="H56" s="11" t="str">
        <x:v>Rua Comandante Constantino Nicolau Spyrides, Centro, Florianópolis</x:v>
      </x:c>
      <x:c r="I56" s="11"/>
      <x:c r="J56" s="12" t="n">
        <x:v>3850000</x:v>
      </x:c>
      <x:c r="K56" s="13" t="n">
        <x:v>131</x:v>
      </x:c>
      <x:c r="L56" s="13"/>
      <x:c r="M56" s="12" t="n">
        <x:v>29389.31297709924</x:v>
      </x:c>
      <x:c r="N56" s="11" t="n">
        <x:v>3</x:v>
      </x:c>
      <x:c r="O56" s="11" t="n">
        <x:v>3</x:v>
      </x:c>
      <x:c r="P56" s="11" t="n">
        <x:v>5</x:v>
      </x:c>
      <x:c r="Q56" s="11" t="n">
        <x:v>2</x:v>
      </x:c>
      <x:c r="R56" s="12" t="n">
        <x:v>2962</x:v>
      </x:c>
      <x:c r="S56" s="12" t="n">
        <x:v>4514</x:v>
      </x:c>
      <x:c r="T56" s="12" t="str">
        <x:v>anual</x:v>
      </x:c>
      <x:c r="U56" s="12" t="n">
        <x:v>4514</x:v>
      </x:c>
      <x:c r="V56" s="11"/>
      <x:c r="W56" s="11" t="str">
        <x:v>Sim</x:v>
      </x:c>
      <x:c r="X56" s="11" t="str">
        <x:v>Semi-mobiliado; alto padrão</x:v>
      </x:c>
      <x:c r="Y56" s="11" t="n">
        <x:v>0</x:v>
      </x:c>
      <x:c r="Z56" s="11" t="n">
        <x:v>1</x:v>
      </x:c>
      <x:c r="AA56" s="11" t="n">
        <x:v>0</x:v>
      </x:c>
      <x:c r="AB56" s="11" t="n">
        <x:v>1</x:v>
      </x:c>
      <x:c r="AC56" s="11" t="n">
        <x:v>0</x:v>
      </x:c>
      <x:c r="AD56" s="11" t="n">
        <x:v>0</x:v>
      </x:c>
      <x:c r="AE56" s="11" t="n">
        <x:v>1</x:v>
      </x:c>
      <x:c r="AF56" s="11" t="n">
        <x:v>0</x:v>
      </x:c>
      <x:c r="AG56" s="11"/>
      <x:c r="AH56" s="11" t="n">
        <x:v>1</x:v>
      </x:c>
      <x:c r="AI56" s="11"/>
      <x:c r="AJ56" s="11" t="str">
        <x:v>Somente anúncio; confirmar com fonte e vistoria</x:v>
      </x:c>
      <x:c r="AK56" s="11" t="str">
        <x:v>Três suítes; vista panorâmica para o mar; vaga com ponto para carro elétrico.</x:v>
      </x:c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</x:row>
    <x:row r="57">
      <x:c r="A57" s="16" t="str">
        <x:v>AUX-743708</x:v>
      </x:c>
      <x:c r="B57" s="16" t="str">
        <x:v>Auxiliadora Predial</x:v>
      </x:c>
      <x:c r="C57" s="17" t="str">
        <x:v>https://www.auxiliadorapredial.com.br/imovel/venda/743708/apartamento-sc%2Bflorianopolis%2Bcentro</x:v>
      </x:c>
      <x:c r="D57" s="15" t="n">
        <x:v>46278.625</x:v>
      </x:c>
      <x:c r="E57" s="11" t="str">
        <x:v>Oferta</x:v>
      </x:c>
      <x:c r="F57" s="11" t="str">
        <x:v>Publicado na data da consulta</x:v>
      </x:c>
      <x:c r="G57" s="11" t="str">
        <x:v>Centro</x:v>
      </x:c>
      <x:c r="H57" s="11" t="str">
        <x:v>Avenida Hercílio Luz, Centro, Florianópolis</x:v>
      </x:c>
      <x:c r="I57" s="11"/>
      <x:c r="J57" s="12" t="n">
        <x:v>730000</x:v>
      </x:c>
      <x:c r="K57" s="13" t="n">
        <x:v>113</x:v>
      </x:c>
      <x:c r="L57" s="13"/>
      <x:c r="M57" s="12" t="n">
        <x:v>6460.1769911504425</x:v>
      </x:c>
      <x:c r="N57" s="11" t="n">
        <x:v>3</x:v>
      </x:c>
      <x:c r="O57" s="11"/>
      <x:c r="P57" s="11" t="n">
        <x:v>1</x:v>
      </x:c>
      <x:c r="Q57" s="11"/>
      <x:c r="R57" s="12" t="n">
        <x:v>1300</x:v>
      </x:c>
      <x:c r="S57" s="12" t="n">
        <x:v>210</x:v>
      </x:c>
      <x:c r="T57" s="12" t="str">
        <x:v>anual</x:v>
      </x:c>
      <x:c r="U57" s="12" t="n">
        <x:v>210</x:v>
      </x:c>
      <x:c r="V57" s="11"/>
      <x:c r="W57" s="11" t="str">
        <x:v>Sim</x:v>
      </x:c>
      <x:c r="X57" s="11"/>
      <x:c r="Y57" s="11" t="n">
        <x:v>0</x:v>
      </x:c>
      <x:c r="Z57" s="11" t="n">
        <x:v>0</x:v>
      </x:c>
      <x:c r="AA57" s="11" t="n">
        <x:v>0</x:v>
      </x:c>
      <x:c r="AB57" s="11" t="n">
        <x:v>0</x:v>
      </x:c>
      <x:c r="AC57" s="11" t="n">
        <x:v>0</x:v>
      </x:c>
      <x:c r="AD57" s="11" t="n">
        <x:v>0</x:v>
      </x:c>
      <x:c r="AE57" s="11" t="n">
        <x:v>1</x:v>
      </x:c>
      <x:c r="AF57" s="11" t="n">
        <x:v>0</x:v>
      </x:c>
      <x:c r="AG57" s="11"/>
      <x:c r="AH57" s="11" t="n">
        <x:v>1</x:v>
      </x:c>
      <x:c r="AI57" s="11"/>
      <x:c r="AJ57" s="11" t="str">
        <x:v>Somente anúncio; confirmar com fonte e vistoria</x:v>
      </x:c>
      <x:c r="AK57" s="11" t="str">
        <x:v>Sol da tarde; dois elevadores; portaria 24 h.</x:v>
      </x:c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</x:row>
    <x:row r="58">
      <x:c r="A58" s="16" t="str">
        <x:v>AUX-776036</x:v>
      </x:c>
      <x:c r="B58" s="16" t="str">
        <x:v>Auxiliadora Predial</x:v>
      </x:c>
      <x:c r="C58" s="17" t="str">
        <x:v>https://www.auxiliadorapredial.com.br/imovel/venda/776036/apartamento-sc%2Bflorianopolis%2Bcentro</x:v>
      </x:c>
      <x:c r="D58" s="15" t="n">
        <x:v>46278.625</x:v>
      </x:c>
      <x:c r="E58" s="11" t="str">
        <x:v>Oferta</x:v>
      </x:c>
      <x:c r="F58" s="11" t="str">
        <x:v>Publicado na data da consulta</x:v>
      </x:c>
      <x:c r="G58" s="11" t="str">
        <x:v>Centro</x:v>
      </x:c>
      <x:c r="H58" s="11" t="str">
        <x:v>Avenida Mauro Ramos, Centro, Florianópolis</x:v>
      </x:c>
      <x:c r="I58" s="11"/>
      <x:c r="J58" s="12" t="n">
        <x:v>599000</x:v>
      </x:c>
      <x:c r="K58" s="13" t="n">
        <x:v>64</x:v>
      </x:c>
      <x:c r="L58" s="13"/>
      <x:c r="M58" s="12" t="n">
        <x:v>9359.375</x:v>
      </x:c>
      <x:c r="N58" s="11" t="n">
        <x:v>3</x:v>
      </x:c>
      <x:c r="O58" s="11"/>
      <x:c r="P58" s="11" t="n">
        <x:v>1</x:v>
      </x:c>
      <x:c r="Q58" s="11" t="n">
        <x:v>1</x:v>
      </x:c>
      <x:c r="R58" s="12" t="n">
        <x:v>1215</x:v>
      </x:c>
      <x:c r="S58" s="12" t="n">
        <x:v>100</x:v>
      </x:c>
      <x:c r="T58" s="12" t="str">
        <x:v>anual</x:v>
      </x:c>
      <x:c r="U58" s="12" t="n">
        <x:v>100</x:v>
      </x:c>
      <x:c r="V58" s="11" t="n">
        <x:v>4</x:v>
      </x:c>
      <x:c r="W58" s="11" t="str">
        <x:v>Não</x:v>
      </x:c>
      <x:c r="X58" s="11" t="str">
        <x:v>Mobiliado</x:v>
      </x:c>
      <x:c r="Y58" s="11" t="n">
        <x:v>0</x:v>
      </x:c>
      <x:c r="Z58" s="11" t="n">
        <x:v>1</x:v>
      </x:c>
      <x:c r="AA58" s="11" t="n">
        <x:v>0</x:v>
      </x:c>
      <x:c r="AB58" s="11" t="n">
        <x:v>0</x:v>
      </x:c>
      <x:c r="AC58" s="11" t="n">
        <x:v>0</x:v>
      </x:c>
      <x:c r="AD58" s="11" t="n">
        <x:v>0</x:v>
      </x:c>
      <x:c r="AE58" s="11" t="n">
        <x:v>1</x:v>
      </x:c>
      <x:c r="AF58" s="11" t="n">
        <x:v>0</x:v>
      </x:c>
      <x:c r="AG58" s="11"/>
      <x:c r="AH58" s="11" t="n">
        <x:v>1</x:v>
      </x:c>
      <x:c r="AI58" s="11"/>
      <x:c r="AJ58" s="11" t="str">
        <x:v>Somente anúncio; confirmar com fonte e vistoria</x:v>
      </x:c>
      <x:c r="AK58" s="11" t="str">
        <x:v>Edifício com escada; vaga de estacionamento rotativo anunciada.</x:v>
      </x:c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</x:row>
    <x:row r="59">
      <x:c r="A59" s="16" t="str">
        <x:v>BRO-55458</x:v>
      </x:c>
      <x:c r="B59" s="16" t="str">
        <x:v>Brognoli Imóveis</x:v>
      </x:c>
      <x:c r="C59" s="17" t="str">
        <x:v>https://www.brognoli.com.br/imovel/comprar-apartamentos-com-99m-3-quartos-no-bairro-centro-em-florianopolis_A11-55458/</x:v>
      </x:c>
      <x:c r="D59" s="15" t="n">
        <x:v>46278.625</x:v>
      </x:c>
      <x:c r="E59" s="11" t="str">
        <x:v>Oferta</x:v>
      </x:c>
      <x:c r="F59" s="11" t="str">
        <x:v>Publicado na data da consulta</x:v>
      </x:c>
      <x:c r="G59" s="11" t="str">
        <x:v>Centro</x:v>
      </x:c>
      <x:c r="H59" s="11" t="str">
        <x:v>Rua Vidal Ramos, Centro, Florianópolis</x:v>
      </x:c>
      <x:c r="I59" s="11"/>
      <x:c r="J59" s="12" t="n">
        <x:v>855000</x:v>
      </x:c>
      <x:c r="K59" s="13" t="n">
        <x:v>99</x:v>
      </x:c>
      <x:c r="L59" s="13"/>
      <x:c r="M59" s="12" t="n">
        <x:v>8636.363636363636</x:v>
      </x:c>
      <x:c r="N59" s="11" t="n">
        <x:v>3</x:v>
      </x:c>
      <x:c r="O59" s="11"/>
      <x:c r="P59" s="11" t="n">
        <x:v>3</x:v>
      </x:c>
      <x:c r="Q59" s="11"/>
      <x:c r="R59" s="12" t="n">
        <x:v>1072</x:v>
      </x:c>
      <x:c r="S59" s="12" t="n">
        <x:v>2124</x:v>
      </x:c>
      <x:c r="T59" s="12" t="str">
        <x:v>anual</x:v>
      </x:c>
      <x:c r="U59" s="12" t="n">
        <x:v>2124</x:v>
      </x:c>
      <x:c r="V59" s="11"/>
      <x:c r="W59" s="11" t="str">
        <x:v>Sim</x:v>
      </x:c>
      <x:c r="X59" s="11" t="str">
        <x:v>Mobiliado</x:v>
      </x:c>
      <x:c r="Y59" s="11" t="n">
        <x:v>0</x:v>
      </x:c>
      <x:c r="Z59" s="11" t="n">
        <x:v>1</x:v>
      </x:c>
      <x:c r="AA59" s="11" t="n">
        <x:v>0</x:v>
      </x:c>
      <x:c r="AB59" s="11" t="n">
        <x:v>0</x:v>
      </x:c>
      <x:c r="AC59" s="11" t="n">
        <x:v>0</x:v>
      </x:c>
      <x:c r="AD59" s="11" t="n">
        <x:v>0</x:v>
      </x:c>
      <x:c r="AE59" s="11" t="n">
        <x:v>1</x:v>
      </x:c>
      <x:c r="AF59" s="11" t="n">
        <x:v>0</x:v>
      </x:c>
      <x:c r="AG59" s="11"/>
      <x:c r="AH59" s="11" t="n">
        <x:v>0</x:v>
      </x:c>
      <x:c r="AI59" s="11" t="str">
        <x:v>possível mesma unidade do avaliando</x:v>
      </x:c>
      <x:c r="AJ59" s="11" t="str">
        <x:v>Somente anúncio; confirmar com fonte e vistoria</x:v>
      </x:c>
      <x:c r="AK59" s="11" t="str">
        <x:v>IPTU anunciado como R$177, sem periodicidade explícita, anualizado como 12 meses para coluna numérica.</x:v>
      </x:c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</x:row>
    <x:row r="60">
      <x:c r="A60" s="16" t="str">
        <x:v>BRO-58236</x:v>
      </x:c>
      <x:c r="B60" s="16" t="str">
        <x:v>Brognoli Imóveis</x:v>
      </x:c>
      <x:c r="C60" s="17" t="str">
        <x:v>https://www.brognoli.com.br/imovel/comprar-apartamentos-com-78m-3-quartos-no-bairro-centro-em-florianopolis_A32-58236/</x:v>
      </x:c>
      <x:c r="D60" s="15" t="n">
        <x:v>46278.625</x:v>
      </x:c>
      <x:c r="E60" s="11" t="str">
        <x:v>Oferta</x:v>
      </x:c>
      <x:c r="F60" s="11" t="str">
        <x:v>Publicado na data da consulta</x:v>
      </x:c>
      <x:c r="G60" s="11" t="str">
        <x:v>Centro</x:v>
      </x:c>
      <x:c r="H60" s="11" t="str">
        <x:v>Rua Hermann Blumenau, Centro, Florianópolis</x:v>
      </x:c>
      <x:c r="I60" s="11"/>
      <x:c r="J60" s="12" t="n">
        <x:v>1490000</x:v>
      </x:c>
      <x:c r="K60" s="13" t="n">
        <x:v>78</x:v>
      </x:c>
      <x:c r="L60" s="13"/>
      <x:c r="M60" s="12" t="n">
        <x:v>19102.5641025641</x:v>
      </x:c>
      <x:c r="N60" s="11" t="n">
        <x:v>3</x:v>
      </x:c>
      <x:c r="O60" s="11" t="n">
        <x:v>1</x:v>
      </x:c>
      <x:c r="P60" s="11" t="n">
        <x:v>2</x:v>
      </x:c>
      <x:c r="Q60" s="11" t="n">
        <x:v>1</x:v>
      </x:c>
      <x:c r="R60" s="12" t="n">
        <x:v>764</x:v>
      </x:c>
      <x:c r="S60" s="12" t="n">
        <x:v>1365</x:v>
      </x:c>
      <x:c r="T60" s="12" t="str">
        <x:v>anual</x:v>
      </x:c>
      <x:c r="U60" s="12" t="n">
        <x:v>1365</x:v>
      </x:c>
      <x:c r="V60" s="11" t="str">
        <x:v>alto</x:v>
      </x:c>
      <x:c r="W60" s="11" t="str">
        <x:v>Sim</x:v>
      </x:c>
      <x:c r="X60" s="11" t="str">
        <x:v>Totalmente mobiliado</x:v>
      </x:c>
      <x:c r="Y60" s="11" t="n">
        <x:v>0</x:v>
      </x:c>
      <x:c r="Z60" s="11" t="n">
        <x:v>1</x:v>
      </x:c>
      <x:c r="AA60" s="11" t="n">
        <x:v>0</x:v>
      </x:c>
      <x:c r="AB60" s="11" t="n">
        <x:v>0</x:v>
      </x:c>
      <x:c r="AC60" s="11" t="n">
        <x:v>0</x:v>
      </x:c>
      <x:c r="AD60" s="11" t="n">
        <x:v>0</x:v>
      </x:c>
      <x:c r="AE60" s="11" t="n">
        <x:v>1</x:v>
      </x:c>
      <x:c r="AF60" s="11" t="n">
        <x:v>0</x:v>
      </x:c>
      <x:c r="AG60" s="11"/>
      <x:c r="AH60" s="11" t="n">
        <x:v>1</x:v>
      </x:c>
      <x:c r="AI60" s="11"/>
      <x:c r="AJ60" s="11" t="str">
        <x:v>Somente anúncio; confirmar com fonte e vistoria</x:v>
      </x:c>
      <x:c r="AK60" s="11" t="str">
        <x:v>Hobby box; 3 apartamentos por andar. IPTU sem periodicidade explícita no anúncio.</x:v>
      </x:c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</x:row>
    <x:row r="61">
      <x:c r="A61" s="16" t="str">
        <x:v>BRO-55121</x:v>
      </x:c>
      <x:c r="B61" s="16" t="str">
        <x:v>Brognoli Imóveis</x:v>
      </x:c>
      <x:c r="C61" s="17" t="str">
        <x:v>https://www.brognoli.com.br/imovel/comprar-apartamentos-com-120m-3-quartos-no-bairro-centro-em-florianopolis_A50-55121/</x:v>
      </x:c>
      <x:c r="D61" s="15" t="n">
        <x:v>46278.625</x:v>
      </x:c>
      <x:c r="E61" s="11" t="str">
        <x:v>Oferta</x:v>
      </x:c>
      <x:c r="F61" s="11" t="str">
        <x:v>Publicado na data da consulta</x:v>
      </x:c>
      <x:c r="G61" s="11" t="str">
        <x:v>Centro</x:v>
      </x:c>
      <x:c r="H61" s="11" t="str">
        <x:v>Avenida Hercílio Luz, Centro, Florianópolis</x:v>
      </x:c>
      <x:c r="I61" s="11"/>
      <x:c r="J61" s="12" t="n">
        <x:v>1600000</x:v>
      </x:c>
      <x:c r="K61" s="13" t="n">
        <x:v>120</x:v>
      </x:c>
      <x:c r="L61" s="13"/>
      <x:c r="M61" s="12" t="n">
        <x:v>13333.333333333334</x:v>
      </x:c>
      <x:c r="N61" s="11" t="n">
        <x:v>3</x:v>
      </x:c>
      <x:c r="O61" s="11" t="n">
        <x:v>1</x:v>
      </x:c>
      <x:c r="P61" s="11" t="n">
        <x:v>4</x:v>
      </x:c>
      <x:c r="Q61" s="11" t="n">
        <x:v>2</x:v>
      </x:c>
      <x:c r="R61" s="12" t="n">
        <x:v>1504</x:v>
      </x:c>
      <x:c r="S61" s="12" t="n">
        <x:v>1543</x:v>
      </x:c>
      <x:c r="T61" s="12" t="str">
        <x:v>anual</x:v>
      </x:c>
      <x:c r="U61" s="12" t="n">
        <x:v>1543</x:v>
      </x:c>
      <x:c r="V61" s="11" t="str">
        <x:v>alto</x:v>
      </x:c>
      <x:c r="W61" s="11" t="str">
        <x:v>Sim</x:v>
      </x:c>
      <x:c r="X61" s="11" t="str">
        <x:v>Semi-mobiliado</x:v>
      </x:c>
      <x:c r="Y61" s="11" t="n">
        <x:v>0</x:v>
      </x:c>
      <x:c r="Z61" s="11" t="n">
        <x:v>1</x:v>
      </x:c>
      <x:c r="AA61" s="11" t="n">
        <x:v>0</x:v>
      </x:c>
      <x:c r="AB61" s="11" t="n">
        <x:v>0</x:v>
      </x:c>
      <x:c r="AC61" s="11" t="n">
        <x:v>0</x:v>
      </x:c>
      <x:c r="AD61" s="11" t="n">
        <x:v>0</x:v>
      </x:c>
      <x:c r="AE61" s="11" t="n">
        <x:v>1</x:v>
      </x:c>
      <x:c r="AF61" s="11" t="n">
        <x:v>0</x:v>
      </x:c>
      <x:c r="AG61" s="11"/>
      <x:c r="AH61" s="11" t="n">
        <x:v>1</x:v>
      </x:c>
      <x:c r="AI61" s="11"/>
      <x:c r="AJ61" s="11" t="str">
        <x:v>Somente anúncio; confirmar com fonte e vistoria</x:v>
      </x:c>
      <x:c r="AK61" s="11" t="str">
        <x:v>Vista panorâmica; dois elevadores; piscina. IPTU sem periodicidade explícita no anúncio.</x:v>
      </x:c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</x:row>
    <x:row r="62">
      <x:c r="A62" s="16" t="str">
        <x:v>CNM-43086592</x:v>
      </x:c>
      <x:c r="B62" s="16" t="str">
        <x:v>Chaves na Mão</x:v>
      </x:c>
      <x:c r="C62" s="17" t="str">
        <x:v>https://www.chavesnamao.com.br/imovel/apartamento-a-venda-2-quartos-com-garagem-sc-florianopolis-centro-89m2-RS1185000/id-43086592/</x:v>
      </x:c>
      <x:c r="D62" s="15" t="n">
        <x:v>46278.625</x:v>
      </x:c>
      <x:c r="E62" s="11" t="str">
        <x:v>Oferta</x:v>
      </x:c>
      <x:c r="F62" s="11" t="str">
        <x:v>Publicado na data da consulta</x:v>
      </x:c>
      <x:c r="G62" s="11" t="str">
        <x:v>Centro</x:v>
      </x:c>
      <x:c r="H62" s="11" t="str">
        <x:v>Rua Felipe Schmidt, 1011</x:v>
      </x:c>
      <x:c r="I62" s="11"/>
      <x:c r="J62" s="12" t="n">
        <x:v>1185000</x:v>
      </x:c>
      <x:c r="K62" s="13" t="n">
        <x:v>69</x:v>
      </x:c>
      <x:c r="L62" s="13"/>
      <x:c r="M62" s="12" t="n">
        <x:v>17173.91304347826</x:v>
      </x:c>
      <x:c r="N62" s="11" t="n">
        <x:v>2</x:v>
      </x:c>
      <x:c r="O62" s="11"/>
      <x:c r="P62" s="11" t="n">
        <x:v>1</x:v>
      </x:c>
      <x:c r="Q62" s="11" t="n">
        <x:v>1</x:v>
      </x:c>
      <x:c r="R62" s="12"/>
      <x:c r="S62" s="12" t="n">
        <x:v>2200</x:v>
      </x:c>
      <x:c r="T62" s="12" t="str">
        <x:v>não informada</x:v>
      </x:c>
      <x:c r="U62" s="12"/>
      <x:c r="V62" s="11"/>
      <x:c r="W62" s="11"/>
      <x:c r="X62" s="11"/>
      <x:c r="Y62" s="11" t="n">
        <x:v>0</x:v>
      </x:c>
      <x:c r="Z62" s="11" t="n">
        <x:v>0</x:v>
      </x:c>
      <x:c r="AA62" s="11" t="n">
        <x:v>0</x:v>
      </x:c>
      <x:c r="AB62" s="11" t="n">
        <x:v>0</x:v>
      </x:c>
      <x:c r="AC62" s="11" t="n">
        <x:v>0</x:v>
      </x:c>
      <x:c r="AD62" s="11" t="n">
        <x:v>0</x:v>
      </x:c>
      <x:c r="AE62" s="11" t="n">
        <x:v>1</x:v>
      </x:c>
      <x:c r="AF62" s="11" t="n">
        <x:v>0</x:v>
      </x:c>
      <x:c r="AG62" s="11"/>
      <x:c r="AH62" s="11" t="n">
        <x:v>1</x:v>
      </x:c>
      <x:c r="AI62" s="11"/>
      <x:c r="AJ62" s="11" t="str">
        <x:v>Somente anúncio; confirmar com fonte e vistoria</x:v>
      </x:c>
      <x:c r="AK62" s="11" t="str">
        <x:v>Anúncio ativo no portal; área útil 69 m², total 89 m².</x:v>
      </x:c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</x:row>
    <x:row r="63">
      <x:c r="A63" s="16" t="str">
        <x:v>CNM-43748129</x:v>
      </x:c>
      <x:c r="B63" s="16" t="str">
        <x:v>Chaves na Mão</x:v>
      </x:c>
      <x:c r="C63" s="17" t="str">
        <x:v>https://www.chavesnamao.com.br/imovel/apartamento-a-venda-3-quartos-com-garagem-sc-florianopolis-centro-146m2-RS936000/id-43748129/</x:v>
      </x:c>
      <x:c r="D63" s="15" t="n">
        <x:v>46278.625</x:v>
      </x:c>
      <x:c r="E63" s="11" t="str">
        <x:v>Oferta</x:v>
      </x:c>
      <x:c r="F63" s="11" t="str">
        <x:v>Publicado na data da consulta</x:v>
      </x:c>
      <x:c r="G63" s="11" t="str">
        <x:v>Centro</x:v>
      </x:c>
      <x:c r="H63" s="11" t="str">
        <x:v>Avenida Mauro Ramos</x:v>
      </x:c>
      <x:c r="I63" s="11"/>
      <x:c r="J63" s="12" t="n">
        <x:v>936000</x:v>
      </x:c>
      <x:c r="K63" s="13" t="n">
        <x:v>104</x:v>
      </x:c>
      <x:c r="L63" s="13"/>
      <x:c r="M63" s="12" t="n">
        <x:v>9000</x:v>
      </x:c>
      <x:c r="N63" s="11" t="n">
        <x:v>3</x:v>
      </x:c>
      <x:c r="O63" s="11"/>
      <x:c r="P63" s="11" t="n">
        <x:v>2</x:v>
      </x:c>
      <x:c r="Q63" s="11" t="n">
        <x:v>1</x:v>
      </x:c>
      <x:c r="R63" s="12" t="n">
        <x:v>800</x:v>
      </x:c>
      <x:c r="S63" s="12"/>
      <x:c r="T63" s="12"/>
      <x:c r="U63" s="12"/>
      <x:c r="V63" s="11"/>
      <x:c r="W63" s="11"/>
      <x:c r="X63" s="11"/>
      <x:c r="Y63" s="11" t="n">
        <x:v>0</x:v>
      </x:c>
      <x:c r="Z63" s="11" t="n">
        <x:v>0</x:v>
      </x:c>
      <x:c r="AA63" s="11" t="n">
        <x:v>0</x:v>
      </x:c>
      <x:c r="AB63" s="11" t="n">
        <x:v>0</x:v>
      </x:c>
      <x:c r="AC63" s="11" t="n">
        <x:v>0</x:v>
      </x:c>
      <x:c r="AD63" s="11" t="n">
        <x:v>0</x:v>
      </x:c>
      <x:c r="AE63" s="11" t="n">
        <x:v>1</x:v>
      </x:c>
      <x:c r="AF63" s="11" t="n">
        <x:v>0</x:v>
      </x:c>
      <x:c r="AG63" s="11"/>
      <x:c r="AH63" s="11" t="n">
        <x:v>1</x:v>
      </x:c>
      <x:c r="AI63" s="11"/>
      <x:c r="AJ63" s="11" t="str">
        <x:v>Somente anúncio; confirmar com fonte e vistoria</x:v>
      </x:c>
      <x:c r="AK63" s="11" t="str">
        <x:v>Área exibida na listagem: 104 m²; URL informa área total 146 m².</x:v>
      </x:c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</x:row>
    <x:row r="64">
      <x:c r="A64" s="16" t="str">
        <x:v>CNM-44685787</x:v>
      </x:c>
      <x:c r="B64" s="16" t="str">
        <x:v>Chaves na Mão</x:v>
      </x:c>
      <x:c r="C64" s="17" t="str">
        <x:v>https://www.chavesnamao.com.br/imovel/apartamento-a-venda-3-quartos-com-garagem-sc-florianopolis-centro-97m2-RS780000/id-44685787/</x:v>
      </x:c>
      <x:c r="D64" s="15" t="n">
        <x:v>46278.625</x:v>
      </x:c>
      <x:c r="E64" s="11" t="str">
        <x:v>Oferta</x:v>
      </x:c>
      <x:c r="F64" s="11" t="str">
        <x:v>Publicado na data da consulta</x:v>
      </x:c>
      <x:c r="G64" s="11" t="str">
        <x:v>Centro</x:v>
      </x:c>
      <x:c r="H64" s="11" t="str">
        <x:v>Rua Tiradentes</x:v>
      </x:c>
      <x:c r="I64" s="11"/>
      <x:c r="J64" s="12" t="n">
        <x:v>780000</x:v>
      </x:c>
      <x:c r="K64" s="13" t="n">
        <x:v>97</x:v>
      </x:c>
      <x:c r="L64" s="13"/>
      <x:c r="M64" s="12" t="n">
        <x:v>8041.237113402062</x:v>
      </x:c>
      <x:c r="N64" s="11" t="n">
        <x:v>3</x:v>
      </x:c>
      <x:c r="O64" s="11"/>
      <x:c r="P64" s="11" t="n">
        <x:v>2</x:v>
      </x:c>
      <x:c r="Q64" s="11" t="n">
        <x:v>1</x:v>
      </x:c>
      <x:c r="R64" s="12" t="n">
        <x:v>900</x:v>
      </x:c>
      <x:c r="S64" s="12"/>
      <x:c r="T64" s="12"/>
      <x:c r="U64" s="12"/>
      <x:c r="V64" s="11"/>
      <x:c r="W64" s="11"/>
      <x:c r="X64" s="11"/>
      <x:c r="Y64" s="11" t="n">
        <x:v>0</x:v>
      </x:c>
      <x:c r="Z64" s="11" t="n">
        <x:v>0</x:v>
      </x:c>
      <x:c r="AA64" s="11" t="n">
        <x:v>0</x:v>
      </x:c>
      <x:c r="AB64" s="11" t="n">
        <x:v>0</x:v>
      </x:c>
      <x:c r="AC64" s="11" t="n">
        <x:v>0</x:v>
      </x:c>
      <x:c r="AD64" s="11" t="n">
        <x:v>0</x:v>
      </x:c>
      <x:c r="AE64" s="11" t="n">
        <x:v>1</x:v>
      </x:c>
      <x:c r="AF64" s="11" t="n">
        <x:v>0</x:v>
      </x:c>
      <x:c r="AG64" s="11"/>
      <x:c r="AH64" s="11" t="n">
        <x:v>1</x:v>
      </x:c>
      <x:c r="AI64" s="11"/>
      <x:c r="AJ64" s="11" t="str">
        <x:v>Somente anúncio; confirmar com fonte e vistoria</x:v>
      </x:c>
      <x:c r="AK64" s="1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</x:row>
    <x:row r="65">
      <x:c r="A65" s="16" t="str">
        <x:v>CNM-43900926</x:v>
      </x:c>
      <x:c r="B65" s="16" t="str">
        <x:v>Chaves na Mão</x:v>
      </x:c>
      <x:c r="C65" s="17" t="str">
        <x:v>https://www.chavesnamao.com.br/imovel/apartamento-a-venda-3-quartos-com-garagem-sc-florianopolis-centro-118m2-RS1550000/id-43900926/</x:v>
      </x:c>
      <x:c r="D65" s="15" t="n">
        <x:v>46278.625</x:v>
      </x:c>
      <x:c r="E65" s="11" t="str">
        <x:v>Oferta</x:v>
      </x:c>
      <x:c r="F65" s="11" t="str">
        <x:v>Publicado na data da consulta</x:v>
      </x:c>
      <x:c r="G65" s="11" t="str">
        <x:v>Centro</x:v>
      </x:c>
      <x:c r="H65" s="11" t="str">
        <x:v>Rua Presidente Nereu Ramos, 252</x:v>
      </x:c>
      <x:c r="I65" s="11"/>
      <x:c r="J65" s="12" t="n">
        <x:v>1550000</x:v>
      </x:c>
      <x:c r="K65" s="13" t="n">
        <x:v>106</x:v>
      </x:c>
      <x:c r="L65" s="13"/>
      <x:c r="M65" s="12" t="n">
        <x:v>14622.641509433963</x:v>
      </x:c>
      <x:c r="N65" s="11" t="n">
        <x:v>3</x:v>
      </x:c>
      <x:c r="O65" s="11"/>
      <x:c r="P65" s="11" t="n">
        <x:v>2</x:v>
      </x:c>
      <x:c r="Q65" s="11" t="n">
        <x:v>1</x:v>
      </x:c>
      <x:c r="R65" s="12"/>
      <x:c r="S65" s="12" t="n">
        <x:v>2002</x:v>
      </x:c>
      <x:c r="T65" s="12" t="str">
        <x:v>não informada</x:v>
      </x:c>
      <x:c r="U65" s="12"/>
      <x:c r="V65" s="11"/>
      <x:c r="W65" s="11"/>
      <x:c r="X65" s="11"/>
      <x:c r="Y65" s="11" t="n">
        <x:v>0</x:v>
      </x:c>
      <x:c r="Z65" s="11" t="n">
        <x:v>0</x:v>
      </x:c>
      <x:c r="AA65" s="11" t="n">
        <x:v>0</x:v>
      </x:c>
      <x:c r="AB65" s="11" t="n">
        <x:v>0</x:v>
      </x:c>
      <x:c r="AC65" s="11" t="n">
        <x:v>0</x:v>
      </x:c>
      <x:c r="AD65" s="11" t="n">
        <x:v>0</x:v>
      </x:c>
      <x:c r="AE65" s="11" t="n">
        <x:v>1</x:v>
      </x:c>
      <x:c r="AF65" s="11" t="n">
        <x:v>0</x:v>
      </x:c>
      <x:c r="AG65" s="11"/>
      <x:c r="AH65" s="11" t="n">
        <x:v>1</x:v>
      </x:c>
      <x:c r="AI65" s="11"/>
      <x:c r="AJ65" s="11" t="str">
        <x:v>Somente anúncio; confirmar com fonte e vistoria</x:v>
      </x:c>
      <x:c r="AK65" s="11" t="str">
        <x:v>URL informa área total 118 m².</x:v>
      </x:c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</x:row>
    <x:row r="66">
      <x:c r="A66" s="16" t="str">
        <x:v>CNM-38697818</x:v>
      </x:c>
      <x:c r="B66" s="16" t="str">
        <x:v>Chaves na Mão</x:v>
      </x:c>
      <x:c r="C66" s="17" t="str">
        <x:v>https://www.chavesnamao.com.br/imovel/apartamento-a-venda-2-quartos-com-garagem-sc-florianopolis-centro-106m2-RS890000/id-38697818/</x:v>
      </x:c>
      <x:c r="D66" s="15" t="n">
        <x:v>46278.625</x:v>
      </x:c>
      <x:c r="E66" s="11" t="str">
        <x:v>Oferta</x:v>
      </x:c>
      <x:c r="F66" s="11" t="str">
        <x:v>Publicado na data da consulta</x:v>
      </x:c>
      <x:c r="G66" s="11" t="str">
        <x:v>Centro</x:v>
      </x:c>
      <x:c r="H66" s="11" t="str">
        <x:v>Rua São Francisco, 141</x:v>
      </x:c>
      <x:c r="I66" s="11"/>
      <x:c r="J66" s="12" t="n">
        <x:v>890000</x:v>
      </x:c>
      <x:c r="K66" s="13" t="n">
        <x:v>60</x:v>
      </x:c>
      <x:c r="L66" s="13"/>
      <x:c r="M66" s="12" t="n">
        <x:v>14833.333333333334</x:v>
      </x:c>
      <x:c r="N66" s="11" t="n">
        <x:v>2</x:v>
      </x:c>
      <x:c r="O66" s="11"/>
      <x:c r="P66" s="11" t="n">
        <x:v>2</x:v>
      </x:c>
      <x:c r="Q66" s="11" t="n">
        <x:v>1</x:v>
      </x:c>
      <x:c r="R66" s="12" t="n">
        <x:v>850</x:v>
      </x:c>
      <x:c r="S66" s="12"/>
      <x:c r="T66" s="12"/>
      <x:c r="U66" s="12"/>
      <x:c r="V66" s="11"/>
      <x:c r="W66" s="11"/>
      <x:c r="X66" s="11"/>
      <x:c r="Y66" s="11" t="n">
        <x:v>0</x:v>
      </x:c>
      <x:c r="Z66" s="11" t="n">
        <x:v>0</x:v>
      </x:c>
      <x:c r="AA66" s="11" t="n">
        <x:v>0</x:v>
      </x:c>
      <x:c r="AB66" s="11" t="n">
        <x:v>0</x:v>
      </x:c>
      <x:c r="AC66" s="11" t="n">
        <x:v>0</x:v>
      </x:c>
      <x:c r="AD66" s="11" t="n">
        <x:v>0</x:v>
      </x:c>
      <x:c r="AE66" s="11" t="n">
        <x:v>1</x:v>
      </x:c>
      <x:c r="AF66" s="11" t="n">
        <x:v>0</x:v>
      </x:c>
      <x:c r="AG66" s="11"/>
      <x:c r="AH66" s="11" t="n">
        <x:v>1</x:v>
      </x:c>
      <x:c r="AI66" s="11"/>
      <x:c r="AJ66" s="11" t="str">
        <x:v>Somente anúncio; confirmar com fonte e vistoria</x:v>
      </x:c>
      <x:c r="AK66" s="11" t="str">
        <x:v>URL informa área total 106 m².</x:v>
      </x:c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</x:row>
    <x:row r="67">
      <x:c r="A67" s="16" t="str">
        <x:v>CNM-40704506</x:v>
      </x:c>
      <x:c r="B67" s="16" t="str">
        <x:v>Chaves na Mão</x:v>
      </x:c>
      <x:c r="C67" s="17" t="str">
        <x:v>https://www.chavesnamao.com.br/imovel/apartamento-a-venda-3-quartos-com-garagem-sc-florianopolis-centro-122m2-RS880000/id-40704506/</x:v>
      </x:c>
      <x:c r="D67" s="15" t="n">
        <x:v>46278.625</x:v>
      </x:c>
      <x:c r="E67" s="11" t="str">
        <x:v>Oferta</x:v>
      </x:c>
      <x:c r="F67" s="11" t="str">
        <x:v>Publicado na data da consulta</x:v>
      </x:c>
      <x:c r="G67" s="11" t="str">
        <x:v>Centro</x:v>
      </x:c>
      <x:c r="H67" s="11" t="str">
        <x:v>Avenida Mauro Ramos, 135</x:v>
      </x:c>
      <x:c r="I67" s="11"/>
      <x:c r="J67" s="12" t="n">
        <x:v>880000</x:v>
      </x:c>
      <x:c r="K67" s="13" t="n">
        <x:v>104</x:v>
      </x:c>
      <x:c r="L67" s="13"/>
      <x:c r="M67" s="12" t="n">
        <x:v>8461.538461538461</x:v>
      </x:c>
      <x:c r="N67" s="11" t="n">
        <x:v>3</x:v>
      </x:c>
      <x:c r="O67" s="11"/>
      <x:c r="P67" s="11" t="n">
        <x:v>2</x:v>
      </x:c>
      <x:c r="Q67" s="11" t="n">
        <x:v>1</x:v>
      </x:c>
      <x:c r="R67" s="12" t="n">
        <x:v>836</x:v>
      </x:c>
      <x:c r="S67" s="12"/>
      <x:c r="T67" s="12"/>
      <x:c r="U67" s="12"/>
      <x:c r="V67" s="11"/>
      <x:c r="W67" s="11"/>
      <x:c r="X67" s="11"/>
      <x:c r="Y67" s="11" t="n">
        <x:v>0</x:v>
      </x:c>
      <x:c r="Z67" s="11" t="n">
        <x:v>0</x:v>
      </x:c>
      <x:c r="AA67" s="11" t="n">
        <x:v>0</x:v>
      </x:c>
      <x:c r="AB67" s="11" t="n">
        <x:v>0</x:v>
      </x:c>
      <x:c r="AC67" s="11" t="n">
        <x:v>0</x:v>
      </x:c>
      <x:c r="AD67" s="11" t="n">
        <x:v>0</x:v>
      </x:c>
      <x:c r="AE67" s="11" t="n">
        <x:v>1</x:v>
      </x:c>
      <x:c r="AF67" s="11" t="n">
        <x:v>0</x:v>
      </x:c>
      <x:c r="AG67" s="11"/>
      <x:c r="AH67" s="11" t="n">
        <x:v>1</x:v>
      </x:c>
      <x:c r="AI67" s="11"/>
      <x:c r="AJ67" s="11" t="str">
        <x:v>Somente anúncio; confirmar com fonte e vistoria</x:v>
      </x:c>
      <x:c r="AK67" s="11" t="str">
        <x:v>URL informa área total 122 m².</x:v>
      </x:c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</x:row>
    <x:row r="68">
      <x:c r="A68" s="16" t="str">
        <x:v>CNM-39013047</x:v>
      </x:c>
      <x:c r="B68" s="16" t="str">
        <x:v>Chaves na Mão</x:v>
      </x:c>
      <x:c r="C68" s="17" t="str">
        <x:v>https://www.chavesnamao.com.br/imovel/apartamento-a-venda-2-quartos-com-garagem-sc-florianopolis-centro-73m2-RS1890000/id-39013047/</x:v>
      </x:c>
      <x:c r="D68" s="15" t="n">
        <x:v>46278.625</x:v>
      </x:c>
      <x:c r="E68" s="11" t="str">
        <x:v>Oferta</x:v>
      </x:c>
      <x:c r="F68" s="11" t="str">
        <x:v>Publicado na data da consulta</x:v>
      </x:c>
      <x:c r="G68" s="11" t="str">
        <x:v>Centro</x:v>
      </x:c>
      <x:c r="H68" s="11" t="str">
        <x:v>Rua Felipe Schmidt</x:v>
      </x:c>
      <x:c r="I68" s="11"/>
      <x:c r="J68" s="12" t="n">
        <x:v>1890000</x:v>
      </x:c>
      <x:c r="K68" s="13" t="n">
        <x:v>73</x:v>
      </x:c>
      <x:c r="L68" s="13"/>
      <x:c r="M68" s="12" t="n">
        <x:v>25890.41095890411</x:v>
      </x:c>
      <x:c r="N68" s="11" t="n">
        <x:v>2</x:v>
      </x:c>
      <x:c r="O68" s="11"/>
      <x:c r="P68" s="11" t="n">
        <x:v>2</x:v>
      </x:c>
      <x:c r="Q68" s="11" t="n">
        <x:v>1</x:v>
      </x:c>
      <x:c r="R68" s="12"/>
      <x:c r="S68" s="12"/>
      <x:c r="T68" s="12"/>
      <x:c r="U68" s="12"/>
      <x:c r="V68" s="11"/>
      <x:c r="W68" s="11"/>
      <x:c r="X68" s="11"/>
      <x:c r="Y68" s="11" t="n">
        <x:v>0</x:v>
      </x:c>
      <x:c r="Z68" s="11" t="n">
        <x:v>0</x:v>
      </x:c>
      <x:c r="AA68" s="11" t="n">
        <x:v>0</x:v>
      </x:c>
      <x:c r="AB68" s="11" t="n">
        <x:v>0</x:v>
      </x:c>
      <x:c r="AC68" s="11" t="n">
        <x:v>0</x:v>
      </x:c>
      <x:c r="AD68" s="11" t="n">
        <x:v>0</x:v>
      </x:c>
      <x:c r="AE68" s="11" t="n">
        <x:v>1</x:v>
      </x:c>
      <x:c r="AF68" s="11" t="n">
        <x:v>0</x:v>
      </x:c>
      <x:c r="AG68" s="11"/>
      <x:c r="AH68" s="11" t="n">
        <x:v>1</x:v>
      </x:c>
      <x:c r="AI68" s="11"/>
      <x:c r="AJ68" s="11" t="str">
        <x:v>Somente anúncio; confirmar com fonte e vistoria</x:v>
      </x:c>
      <x:c r="AK68" s="1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</x:row>
    <x:row r="69">
      <x:c r="A69" s="16" t="str">
        <x:v>CNM-25828732</x:v>
      </x:c>
      <x:c r="B69" s="16" t="str">
        <x:v>Chaves na Mão</x:v>
      </x:c>
      <x:c r="C69" s="17" t="str">
        <x:v>https://www.chavesnamao.com.br/imovel/apartamento-a-venda-3-quartos-com-garagem-sc-florianopolis-centro-125m2-RS815000/id-25828732/</x:v>
      </x:c>
      <x:c r="D69" s="15" t="n">
        <x:v>46278.625</x:v>
      </x:c>
      <x:c r="E69" s="11" t="str">
        <x:v>Oferta</x:v>
      </x:c>
      <x:c r="F69" s="11" t="str">
        <x:v>Publicado na data da consulta</x:v>
      </x:c>
      <x:c r="G69" s="11" t="str">
        <x:v>Centro</x:v>
      </x:c>
      <x:c r="H69" s="11" t="str">
        <x:v>Rua General Bittencourt</x:v>
      </x:c>
      <x:c r="I69" s="11"/>
      <x:c r="J69" s="12" t="n">
        <x:v>815000</x:v>
      </x:c>
      <x:c r="K69" s="13" t="n">
        <x:v>80</x:v>
      </x:c>
      <x:c r="L69" s="13"/>
      <x:c r="M69" s="12" t="n">
        <x:v>10187.5</x:v>
      </x:c>
      <x:c r="N69" s="11" t="n">
        <x:v>3</x:v>
      </x:c>
      <x:c r="O69" s="11"/>
      <x:c r="P69" s="11" t="n">
        <x:v>2</x:v>
      </x:c>
      <x:c r="Q69" s="11" t="n">
        <x:v>1</x:v>
      </x:c>
      <x:c r="R69" s="12" t="n">
        <x:v>1403</x:v>
      </x:c>
      <x:c r="S69" s="12"/>
      <x:c r="T69" s="12"/>
      <x:c r="U69" s="12"/>
      <x:c r="V69" s="11"/>
      <x:c r="W69" s="11"/>
      <x:c r="X69" s="11"/>
      <x:c r="Y69" s="11" t="n">
        <x:v>0</x:v>
      </x:c>
      <x:c r="Z69" s="11" t="n">
        <x:v>0</x:v>
      </x:c>
      <x:c r="AA69" s="11" t="n">
        <x:v>0</x:v>
      </x:c>
      <x:c r="AB69" s="11" t="n">
        <x:v>0</x:v>
      </x:c>
      <x:c r="AC69" s="11" t="n">
        <x:v>0</x:v>
      </x:c>
      <x:c r="AD69" s="11" t="n">
        <x:v>0</x:v>
      </x:c>
      <x:c r="AE69" s="11" t="n">
        <x:v>1</x:v>
      </x:c>
      <x:c r="AF69" s="11" t="n">
        <x:v>0</x:v>
      </x:c>
      <x:c r="AG69" s="11" t="str">
        <x:v>GR-34953</x:v>
      </x:c>
      <x:c r="AH69" s="11" t="n">
        <x:v>0</x:v>
      </x:c>
      <x:c r="AI69" s="11" t="str">
        <x:v>duplicidade provável de GR-34953</x:v>
      </x:c>
      <x:c r="AJ69" s="11" t="str">
        <x:v>Somente anúncio; confirmar com fonte e vistoria</x:v>
      </x:c>
      <x:c r="AK69" s="11" t="str">
        <x:v>URL informa área total 125 m².</x:v>
      </x:c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</x:row>
    <x:row r="70">
      <x:c r="A70" s="16" t="str">
        <x:v>CNM-39243493</x:v>
      </x:c>
      <x:c r="B70" s="16" t="str">
        <x:v>Chaves na Mão</x:v>
      </x:c>
      <x:c r="C70" s="17" t="str">
        <x:v>https://www.chavesnamao.com.br/imovel/apartamento-a-venda-2-quartos-com-garagem-sc-florianopolis-centro-95m2-RS1100000/id-39243493/</x:v>
      </x:c>
      <x:c r="D70" s="15" t="n">
        <x:v>46278.625</x:v>
      </x:c>
      <x:c r="E70" s="11" t="str">
        <x:v>Oferta</x:v>
      </x:c>
      <x:c r="F70" s="11" t="str">
        <x:v>Publicado na data da consulta</x:v>
      </x:c>
      <x:c r="G70" s="11" t="str">
        <x:v>Centro</x:v>
      </x:c>
      <x:c r="H70" s="11" t="str">
        <x:v>Rua Hermann Blumenau, 111</x:v>
      </x:c>
      <x:c r="I70" s="11"/>
      <x:c r="J70" s="12" t="n">
        <x:v>1100000</x:v>
      </x:c>
      <x:c r="K70" s="13" t="n">
        <x:v>68</x:v>
      </x:c>
      <x:c r="L70" s="13"/>
      <x:c r="M70" s="12" t="n">
        <x:v>16176.470588235294</x:v>
      </x:c>
      <x:c r="N70" s="11" t="n">
        <x:v>2</x:v>
      </x:c>
      <x:c r="O70" s="11"/>
      <x:c r="P70" s="11" t="n">
        <x:v>2</x:v>
      </x:c>
      <x:c r="Q70" s="11" t="n">
        <x:v>2</x:v>
      </x:c>
      <x:c r="R70" s="12" t="n">
        <x:v>900</x:v>
      </x:c>
      <x:c r="S70" s="12"/>
      <x:c r="T70" s="12"/>
      <x:c r="U70" s="12"/>
      <x:c r="V70" s="11"/>
      <x:c r="W70" s="11"/>
      <x:c r="X70" s="11"/>
      <x:c r="Y70" s="11" t="n">
        <x:v>0</x:v>
      </x:c>
      <x:c r="Z70" s="11" t="n">
        <x:v>0</x:v>
      </x:c>
      <x:c r="AA70" s="11" t="n">
        <x:v>0</x:v>
      </x:c>
      <x:c r="AB70" s="11" t="n">
        <x:v>0</x:v>
      </x:c>
      <x:c r="AC70" s="11" t="n">
        <x:v>0</x:v>
      </x:c>
      <x:c r="AD70" s="11" t="n">
        <x:v>0</x:v>
      </x:c>
      <x:c r="AE70" s="11" t="n">
        <x:v>1</x:v>
      </x:c>
      <x:c r="AF70" s="11" t="n">
        <x:v>0</x:v>
      </x:c>
      <x:c r="AG70" s="11"/>
      <x:c r="AH70" s="11" t="n">
        <x:v>1</x:v>
      </x:c>
      <x:c r="AI70" s="11"/>
      <x:c r="AJ70" s="11" t="str">
        <x:v>Somente anúncio; confirmar com fonte e vistoria</x:v>
      </x:c>
      <x:c r="AK70" s="11" t="str">
        <x:v>URL informa área total 95 m².</x:v>
      </x:c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</x:row>
    <x:row r="71">
      <x:c r="A71" s="16" t="str">
        <x:v>CNM-41253377</x:v>
      </x:c>
      <x:c r="B71" s="16" t="str">
        <x:v>Chaves na Mão</x:v>
      </x:c>
      <x:c r="C71" s="17" t="str">
        <x:v>https://www.chavesnamao.com.br/imovel/apartamento-a-venda-3-quartos-com-garagem-sc-florianopolis-centro-209m2-RS1600000/id-41253377/</x:v>
      </x:c>
      <x:c r="D71" s="15" t="n">
        <x:v>46278.625</x:v>
      </x:c>
      <x:c r="E71" s="11" t="str">
        <x:v>Oferta</x:v>
      </x:c>
      <x:c r="F71" s="11" t="str">
        <x:v>Publicado na data da consulta</x:v>
      </x:c>
      <x:c r="G71" s="11" t="str">
        <x:v>Centro</x:v>
      </x:c>
      <x:c r="H71" s="11" t="str">
        <x:v>Rua Alves de Brito, 77</x:v>
      </x:c>
      <x:c r="I71" s="11"/>
      <x:c r="J71" s="12" t="n">
        <x:v>1600000</x:v>
      </x:c>
      <x:c r="K71" s="13" t="n">
        <x:v>142</x:v>
      </x:c>
      <x:c r="L71" s="13"/>
      <x:c r="M71" s="12" t="n">
        <x:v>11267.605633802817</x:v>
      </x:c>
      <x:c r="N71" s="11" t="n">
        <x:v>3</x:v>
      </x:c>
      <x:c r="O71" s="11"/>
      <x:c r="P71" s="11" t="n">
        <x:v>4</x:v>
      </x:c>
      <x:c r="Q71" s="11" t="n">
        <x:v>1</x:v>
      </x:c>
      <x:c r="R71" s="12" t="n">
        <x:v>1355</x:v>
      </x:c>
      <x:c r="S71" s="12"/>
      <x:c r="T71" s="12"/>
      <x:c r="U71" s="12"/>
      <x:c r="V71" s="11"/>
      <x:c r="W71" s="11"/>
      <x:c r="X71" s="11"/>
      <x:c r="Y71" s="11" t="n">
        <x:v>0</x:v>
      </x:c>
      <x:c r="Z71" s="11" t="n">
        <x:v>0</x:v>
      </x:c>
      <x:c r="AA71" s="11" t="n">
        <x:v>0</x:v>
      </x:c>
      <x:c r="AB71" s="11" t="n">
        <x:v>0</x:v>
      </x:c>
      <x:c r="AC71" s="11" t="n">
        <x:v>0</x:v>
      </x:c>
      <x:c r="AD71" s="11" t="n">
        <x:v>0</x:v>
      </x:c>
      <x:c r="AE71" s="11" t="n">
        <x:v>1</x:v>
      </x:c>
      <x:c r="AF71" s="11" t="n">
        <x:v>0</x:v>
      </x:c>
      <x:c r="AG71" s="11"/>
      <x:c r="AH71" s="11" t="n">
        <x:v>1</x:v>
      </x:c>
      <x:c r="AI71" s="11"/>
      <x:c r="AJ71" s="11" t="str">
        <x:v>Somente anúncio; confirmar com fonte e vistoria</x:v>
      </x:c>
      <x:c r="AK71" s="11" t="str">
        <x:v>URL informa área total 209 m².</x:v>
      </x:c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</x:row>
    <x:row r="72">
      <x:c r="A72" s="16" t="str">
        <x:v>CNM-38664333</x:v>
      </x:c>
      <x:c r="B72" s="16" t="str">
        <x:v>Chaves na Mão</x:v>
      </x:c>
      <x:c r="C72" s="17" t="str">
        <x:v>https://www.chavesnamao.com.br/imovel/apartamento-a-venda-2-quartos-com-garagem-sc-florianopolis-centro-RS1250000/id-38664333/</x:v>
      </x:c>
      <x:c r="D72" s="15" t="n">
        <x:v>46278.625</x:v>
      </x:c>
      <x:c r="E72" s="11" t="str">
        <x:v>Oferta</x:v>
      </x:c>
      <x:c r="F72" s="11" t="str">
        <x:v>Publicado na data da consulta</x:v>
      </x:c>
      <x:c r="G72" s="11" t="str">
        <x:v>Centro</x:v>
      </x:c>
      <x:c r="H72" s="11" t="str">
        <x:v>Cruz e Sousa</x:v>
      </x:c>
      <x:c r="I72" s="11"/>
      <x:c r="J72" s="12" t="n">
        <x:v>1250000</x:v>
      </x:c>
      <x:c r="K72" s="13" t="n">
        <x:v>60</x:v>
      </x:c>
      <x:c r="L72" s="13"/>
      <x:c r="M72" s="12" t="n">
        <x:v>20833.333333333332</x:v>
      </x:c>
      <x:c r="N72" s="11" t="n">
        <x:v>2</x:v>
      </x:c>
      <x:c r="O72" s="11"/>
      <x:c r="P72" s="11" t="n">
        <x:v>2</x:v>
      </x:c>
      <x:c r="Q72" s="11" t="n">
        <x:v>1</x:v>
      </x:c>
      <x:c r="R72" s="12" t="n">
        <x:v>900</x:v>
      </x:c>
      <x:c r="S72" s="12"/>
      <x:c r="T72" s="12"/>
      <x:c r="U72" s="12"/>
      <x:c r="V72" s="11"/>
      <x:c r="W72" s="11"/>
      <x:c r="X72" s="11"/>
      <x:c r="Y72" s="11" t="n">
        <x:v>0</x:v>
      </x:c>
      <x:c r="Z72" s="11" t="n">
        <x:v>0</x:v>
      </x:c>
      <x:c r="AA72" s="11" t="n">
        <x:v>0</x:v>
      </x:c>
      <x:c r="AB72" s="11" t="n">
        <x:v>0</x:v>
      </x:c>
      <x:c r="AC72" s="11" t="n">
        <x:v>0</x:v>
      </x:c>
      <x:c r="AD72" s="11" t="n">
        <x:v>0</x:v>
      </x:c>
      <x:c r="AE72" s="11" t="n">
        <x:v>1</x:v>
      </x:c>
      <x:c r="AF72" s="11" t="n">
        <x:v>0</x:v>
      </x:c>
      <x:c r="AG72" s="11"/>
      <x:c r="AH72" s="11" t="n">
        <x:v>1</x:v>
      </x:c>
      <x:c r="AI72" s="11"/>
      <x:c r="AJ72" s="11" t="str">
        <x:v>Somente anúncio; confirmar com fonte e vistoria</x:v>
      </x:c>
      <x:c r="AK72" s="1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</x:row>
    <x:row r="73">
      <x:c r="A73" s="16" t="str">
        <x:v>CNM-43505842</x:v>
      </x:c>
      <x:c r="B73" s="16" t="str">
        <x:v>Chaves na Mão</x:v>
      </x:c>
      <x:c r="C73" s="17" t="str">
        <x:v>https://www.chavesnamao.com.br/imovel/apartamento-a-venda-2-quartos-com-garagem-sc-florianopolis-centro-RS1600000/id-43505842/</x:v>
      </x:c>
      <x:c r="D73" s="15" t="n">
        <x:v>46278.625</x:v>
      </x:c>
      <x:c r="E73" s="11" t="str">
        <x:v>Oferta</x:v>
      </x:c>
      <x:c r="F73" s="11" t="str">
        <x:v>Publicado na data da consulta</x:v>
      </x:c>
      <x:c r="G73" s="11" t="str">
        <x:v>Centro</x:v>
      </x:c>
      <x:c r="H73" s="11" t="str">
        <x:v>Avenida Hercílio Luz, 1117</x:v>
      </x:c>
      <x:c r="I73" s="11"/>
      <x:c r="J73" s="12" t="n">
        <x:v>1600000</x:v>
      </x:c>
      <x:c r="K73" s="13" t="n">
        <x:v>69</x:v>
      </x:c>
      <x:c r="L73" s="13"/>
      <x:c r="M73" s="12" t="n">
        <x:v>23188.405797101448</x:v>
      </x:c>
      <x:c r="N73" s="11" t="n">
        <x:v>2</x:v>
      </x:c>
      <x:c r="O73" s="11" t="n">
        <x:v>2</x:v>
      </x:c>
      <x:c r="P73" s="11" t="n">
        <x:v>3</x:v>
      </x:c>
      <x:c r="Q73" s="11" t="n">
        <x:v>2</x:v>
      </x:c>
      <x:c r="R73" s="12" t="n">
        <x:v>997</x:v>
      </x:c>
      <x:c r="S73" s="12"/>
      <x:c r="T73" s="12"/>
      <x:c r="U73" s="12"/>
      <x:c r="V73" s="11"/>
      <x:c r="W73" s="11"/>
      <x:c r="X73" s="11" t="str">
        <x:v>semi mobiliado</x:v>
      </x:c>
      <x:c r="Y73" s="11" t="n">
        <x:v>1</x:v>
      </x:c>
      <x:c r="Z73" s="11" t="n">
        <x:v>0</x:v>
      </x:c>
      <x:c r="AA73" s="11" t="n">
        <x:v>0</x:v>
      </x:c>
      <x:c r="AB73" s="11" t="n">
        <x:v>0</x:v>
      </x:c>
      <x:c r="AC73" s="11" t="n">
        <x:v>0</x:v>
      </x:c>
      <x:c r="AD73" s="11" t="n">
        <x:v>0</x:v>
      </x:c>
      <x:c r="AE73" s="11" t="n">
        <x:v>1</x:v>
      </x:c>
      <x:c r="AF73" s="11" t="n">
        <x:v>0</x:v>
      </x:c>
      <x:c r="AG73" s="11" t="str">
        <x:v>A02</x:v>
      </x:c>
      <x:c r="AH73" s="11" t="n">
        <x:v>0</x:v>
      </x:c>
      <x:c r="AI73" s="11" t="str">
        <x:v>duplicidade provável de A02</x:v>
      </x:c>
      <x:c r="AJ73" s="11" t="str">
        <x:v>Somente anúncio; confirmar com fonte e vistoria</x:v>
      </x:c>
      <x:c r="AK73" s="1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</x:row>
    <x:row r="74">
      <x:c r="A74" s="16" t="str">
        <x:v>CNM-46339457</x:v>
      </x:c>
      <x:c r="B74" s="16" t="str">
        <x:v>Chaves na Mão</x:v>
      </x:c>
      <x:c r="C74" s="17" t="str">
        <x:v>https://www.chavesnamao.com.br/imovel/apartamento-a-venda-2-quartos-com-garagem-sc-florianopolis-centro-87m2-RS1060000/id-46339457/</x:v>
      </x:c>
      <x:c r="D74" s="15" t="n">
        <x:v>46278.625</x:v>
      </x:c>
      <x:c r="E74" s="11" t="str">
        <x:v>Oferta</x:v>
      </x:c>
      <x:c r="F74" s="11" t="str">
        <x:v>Publicado na data da consulta</x:v>
      </x:c>
      <x:c r="G74" s="11" t="str">
        <x:v>Centro</x:v>
      </x:c>
      <x:c r="H74" s="11" t="str">
        <x:v>Avenida Mauro Ramos, 1487</x:v>
      </x:c>
      <x:c r="I74" s="11"/>
      <x:c r="J74" s="12" t="n">
        <x:v>1060000</x:v>
      </x:c>
      <x:c r="K74" s="13" t="n">
        <x:v>65</x:v>
      </x:c>
      <x:c r="L74" s="13"/>
      <x:c r="M74" s="12" t="n">
        <x:v>16307.692307692309</x:v>
      </x:c>
      <x:c r="N74" s="11" t="n">
        <x:v>2</x:v>
      </x:c>
      <x:c r="O74" s="11"/>
      <x:c r="P74" s="11"/>
      <x:c r="Q74" s="11"/>
      <x:c r="R74" s="12" t="n">
        <x:v>1038</x:v>
      </x:c>
      <x:c r="S74" s="12"/>
      <x:c r="T74" s="12"/>
      <x:c r="U74" s="12"/>
      <x:c r="V74" s="11"/>
      <x:c r="W74" s="11"/>
      <x:c r="X74" s="11"/>
      <x:c r="Y74" s="11" t="n">
        <x:v>0</x:v>
      </x:c>
      <x:c r="Z74" s="11" t="n">
        <x:v>0</x:v>
      </x:c>
      <x:c r="AA74" s="11" t="n">
        <x:v>0</x:v>
      </x:c>
      <x:c r="AB74" s="11" t="n">
        <x:v>0</x:v>
      </x:c>
      <x:c r="AC74" s="11" t="n">
        <x:v>0</x:v>
      </x:c>
      <x:c r="AD74" s="11" t="n">
        <x:v>0</x:v>
      </x:c>
      <x:c r="AE74" s="11" t="n">
        <x:v>1</x:v>
      </x:c>
      <x:c r="AF74" s="11" t="n">
        <x:v>0</x:v>
      </x:c>
      <x:c r="AG74" s="11"/>
      <x:c r="AH74" s="11" t="n">
        <x:v>1</x:v>
      </x:c>
      <x:c r="AI74" s="11"/>
      <x:c r="AJ74" s="11" t="str">
        <x:v>Somente anúncio; confirmar com fonte e vistoria</x:v>
      </x:c>
      <x:c r="AK74" s="11" t="str">
        <x:v>URL informa área total 87 m².</x:v>
      </x:c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</x:row>
    <x:row r="75">
      <x:c r="A75" s="16" t="str">
        <x:v>CNM-44059284</x:v>
      </x:c>
      <x:c r="B75" s="16" t="str">
        <x:v>Chaves na Mão</x:v>
      </x:c>
      <x:c r="C75" s="17" t="str">
        <x:v>https://www.chavesnamao.com.br/imovel/apartamento-a-venda-2-quartos-com-garagem-sc-florianopolis-centro-98m2-RS1100000/id-44059284/</x:v>
      </x:c>
      <x:c r="D75" s="15" t="n">
        <x:v>46278.625</x:v>
      </x:c>
      <x:c r="E75" s="11" t="str">
        <x:v>Oferta</x:v>
      </x:c>
      <x:c r="F75" s="11" t="str">
        <x:v>Publicado na data da consulta</x:v>
      </x:c>
      <x:c r="G75" s="11" t="str">
        <x:v>Centro</x:v>
      </x:c>
      <x:c r="H75" s="11" t="str">
        <x:v>Rua Ângelo La Porta</x:v>
      </x:c>
      <x:c r="I75" s="11"/>
      <x:c r="J75" s="12" t="n">
        <x:v>1100000</x:v>
      </x:c>
      <x:c r="K75" s="13" t="n">
        <x:v>74</x:v>
      </x:c>
      <x:c r="L75" s="13"/>
      <x:c r="M75" s="12" t="n">
        <x:v>14864.864864864865</x:v>
      </x:c>
      <x:c r="N75" s="11" t="n">
        <x:v>2</x:v>
      </x:c>
      <x:c r="O75" s="11"/>
      <x:c r="P75" s="11" t="n">
        <x:v>2</x:v>
      </x:c>
      <x:c r="Q75" s="11" t="n">
        <x:v>1</x:v>
      </x:c>
      <x:c r="R75" s="12" t="n">
        <x:v>873</x:v>
      </x:c>
      <x:c r="S75" s="12"/>
      <x:c r="T75" s="12"/>
      <x:c r="U75" s="12"/>
      <x:c r="V75" s="11"/>
      <x:c r="W75" s="11"/>
      <x:c r="X75" s="11"/>
      <x:c r="Y75" s="11" t="n">
        <x:v>0</x:v>
      </x:c>
      <x:c r="Z75" s="11" t="n">
        <x:v>0</x:v>
      </x:c>
      <x:c r="AA75" s="11" t="n">
        <x:v>0</x:v>
      </x:c>
      <x:c r="AB75" s="11" t="n">
        <x:v>0</x:v>
      </x:c>
      <x:c r="AC75" s="11" t="n">
        <x:v>0</x:v>
      </x:c>
      <x:c r="AD75" s="11" t="n">
        <x:v>0</x:v>
      </x:c>
      <x:c r="AE75" s="11" t="n">
        <x:v>1</x:v>
      </x:c>
      <x:c r="AF75" s="11" t="n">
        <x:v>0</x:v>
      </x:c>
      <x:c r="AG75" s="11"/>
      <x:c r="AH75" s="11" t="n">
        <x:v>1</x:v>
      </x:c>
      <x:c r="AI75" s="11"/>
      <x:c r="AJ75" s="11" t="str">
        <x:v>Somente anúncio; confirmar com fonte e vistoria</x:v>
      </x:c>
      <x:c r="AK75" s="11" t="str">
        <x:v>URL informa área total 98 m².</x:v>
      </x:c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</x:row>
    <x:row r="76">
      <x:c r="A76" s="16" t="str">
        <x:v>CNM-37688259</x:v>
      </x:c>
      <x:c r="B76" s="16" t="str">
        <x:v>Chaves na Mão</x:v>
      </x:c>
      <x:c r="C76" s="17" t="str">
        <x:v>https://www.chavesnamao.com.br/imovel/apartamento-a-venda-2-quartos-com-garagem-sc-florianopolis-centro-72m2-RS850000/id-37688259/</x:v>
      </x:c>
      <x:c r="D76" s="15" t="n">
        <x:v>46278.625</x:v>
      </x:c>
      <x:c r="E76" s="11" t="str">
        <x:v>Oferta</x:v>
      </x:c>
      <x:c r="F76" s="11" t="str">
        <x:v>Publicado na data da consulta</x:v>
      </x:c>
      <x:c r="G76" s="11" t="str">
        <x:v>Centro</x:v>
      </x:c>
      <x:c r="H76" s="11" t="str">
        <x:v>Rua Irmão Joaquim, 114</x:v>
      </x:c>
      <x:c r="I76" s="11"/>
      <x:c r="J76" s="12" t="n">
        <x:v>850000</x:v>
      </x:c>
      <x:c r="K76" s="13" t="n">
        <x:v>72</x:v>
      </x:c>
      <x:c r="L76" s="13"/>
      <x:c r="M76" s="12" t="n">
        <x:v>11805.555555555555</x:v>
      </x:c>
      <x:c r="N76" s="11" t="n">
        <x:v>2</x:v>
      </x:c>
      <x:c r="O76" s="11" t="n">
        <x:v>1</x:v>
      </x:c>
      <x:c r="P76" s="11" t="n">
        <x:v>2</x:v>
      </x:c>
      <x:c r="Q76" s="11" t="n">
        <x:v>1</x:v>
      </x:c>
      <x:c r="R76" s="12" t="n">
        <x:v>700</x:v>
      </x:c>
      <x:c r="S76" s="12"/>
      <x:c r="T76" s="12"/>
      <x:c r="U76" s="12"/>
      <x:c r="V76" s="11"/>
      <x:c r="W76" s="11"/>
      <x:c r="X76" s="11"/>
      <x:c r="Y76" s="11" t="n">
        <x:v>0</x:v>
      </x:c>
      <x:c r="Z76" s="11" t="n">
        <x:v>0</x:v>
      </x:c>
      <x:c r="AA76" s="11" t="n">
        <x:v>0</x:v>
      </x:c>
      <x:c r="AB76" s="11" t="n">
        <x:v>0</x:v>
      </x:c>
      <x:c r="AC76" s="11" t="n">
        <x:v>0</x:v>
      </x:c>
      <x:c r="AD76" s="11" t="n">
        <x:v>0</x:v>
      </x:c>
      <x:c r="AE76" s="11" t="n">
        <x:v>1</x:v>
      </x:c>
      <x:c r="AF76" s="11" t="n">
        <x:v>0</x:v>
      </x:c>
      <x:c r="AG76" s="11"/>
      <x:c r="AH76" s="11" t="n">
        <x:v>1</x:v>
      </x:c>
      <x:c r="AI76" s="11"/>
      <x:c r="AJ76" s="11" t="str">
        <x:v>Somente anúncio; confirmar com fonte e vistoria</x:v>
      </x:c>
      <x:c r="AK76" s="1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</x:row>
    <x:row r="77">
      <x:c r="A77" s="16" t="str">
        <x:v>CNM-36714993</x:v>
      </x:c>
      <x:c r="B77" s="16" t="str">
        <x:v>Chaves na Mão</x:v>
      </x:c>
      <x:c r="C77" s="17" t="str">
        <x:v>https://www.chavesnamao.com.br/imovel/apartamento-a-venda-2-quartos-sc-florianopolis-centro-RS530000/id-36714993/</x:v>
      </x:c>
      <x:c r="D77" s="15" t="n">
        <x:v>46278.625</x:v>
      </x:c>
      <x:c r="E77" s="11" t="str">
        <x:v>Oferta</x:v>
      </x:c>
      <x:c r="F77" s="11" t="str">
        <x:v>Publicado na data da consulta</x:v>
      </x:c>
      <x:c r="G77" s="11" t="str">
        <x:v>Centro</x:v>
      </x:c>
      <x:c r="H77" s="11" t="str">
        <x:v>Rua Anita Garibaldi, 30</x:v>
      </x:c>
      <x:c r="I77" s="11"/>
      <x:c r="J77" s="12" t="n">
        <x:v>530000</x:v>
      </x:c>
      <x:c r="K77" s="13" t="n">
        <x:v>57</x:v>
      </x:c>
      <x:c r="L77" s="13"/>
      <x:c r="M77" s="12" t="n">
        <x:v>9298.245614035088</x:v>
      </x:c>
      <x:c r="N77" s="11" t="n">
        <x:v>2</x:v>
      </x:c>
      <x:c r="O77" s="11"/>
      <x:c r="P77" s="11" t="n">
        <x:v>1</x:v>
      </x:c>
      <x:c r="Q77" s="11" t="n">
        <x:v>0</x:v>
      </x:c>
      <x:c r="R77" s="12" t="n">
        <x:v>663</x:v>
      </x:c>
      <x:c r="S77" s="12"/>
      <x:c r="T77" s="12"/>
      <x:c r="U77" s="12"/>
      <x:c r="V77" s="11"/>
      <x:c r="W77" s="11"/>
      <x:c r="X77" s="11"/>
      <x:c r="Y77" s="11" t="n">
        <x:v>0</x:v>
      </x:c>
      <x:c r="Z77" s="11" t="n">
        <x:v>0</x:v>
      </x:c>
      <x:c r="AA77" s="11" t="n">
        <x:v>0</x:v>
      </x:c>
      <x:c r="AB77" s="11" t="n">
        <x:v>0</x:v>
      </x:c>
      <x:c r="AC77" s="11" t="n">
        <x:v>0</x:v>
      </x:c>
      <x:c r="AD77" s="11" t="n">
        <x:v>0</x:v>
      </x:c>
      <x:c r="AE77" s="11" t="n">
        <x:v>1</x:v>
      </x:c>
      <x:c r="AF77" s="11" t="n">
        <x:v>0</x:v>
      </x:c>
      <x:c r="AG77" s="11"/>
      <x:c r="AH77" s="11" t="n">
        <x:v>0</x:v>
      </x:c>
      <x:c r="AI77" s="11" t="str">
        <x:v>área fora de 60 a 150 m²</x:v>
      </x:c>
      <x:c r="AJ77" s="11" t="str">
        <x:v>Somente anúncio; confirmar com fonte e vistoria</x:v>
      </x:c>
      <x:c r="AK77" s="11" t="str">
        <x:v>Fora da faixa-alvo mínima de 60 m²; mantido como apoio.</x:v>
      </x:c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</x:row>
    <x:row r="78">
      <x:c r="A78" s="16" t="str">
        <x:v>CNM-40083196</x:v>
      </x:c>
      <x:c r="B78" s="16" t="str">
        <x:v>Chaves na Mão</x:v>
      </x:c>
      <x:c r="C78" s="17" t="str">
        <x:v>https://www.chavesnamao.com.br/imovel/apartamento-a-venda-2-quartos-com-garagem-sc-florianopolis-centro-75m2-RS1400000/id-40083196/</x:v>
      </x:c>
      <x:c r="D78" s="15" t="n">
        <x:v>46278.625</x:v>
      </x:c>
      <x:c r="E78" s="11" t="str">
        <x:v>Oferta</x:v>
      </x:c>
      <x:c r="F78" s="11" t="str">
        <x:v>Publicado na data da consulta</x:v>
      </x:c>
      <x:c r="G78" s="11" t="str">
        <x:v>Centro</x:v>
      </x:c>
      <x:c r="H78" s="11" t="str">
        <x:v>Rua Presidente Coutinho, 376</x:v>
      </x:c>
      <x:c r="I78" s="11"/>
      <x:c r="J78" s="12" t="n">
        <x:v>1400000</x:v>
      </x:c>
      <x:c r="K78" s="13" t="n">
        <x:v>75</x:v>
      </x:c>
      <x:c r="L78" s="13"/>
      <x:c r="M78" s="12" t="n">
        <x:v>18666.666666666668</x:v>
      </x:c>
      <x:c r="N78" s="11" t="n">
        <x:v>2</x:v>
      </x:c>
      <x:c r="O78" s="11"/>
      <x:c r="P78" s="11" t="n">
        <x:v>1</x:v>
      </x:c>
      <x:c r="Q78" s="11" t="n">
        <x:v>2</x:v>
      </x:c>
      <x:c r="R78" s="12" t="n">
        <x:v>1145</x:v>
      </x:c>
      <x:c r="S78" s="12"/>
      <x:c r="T78" s="12"/>
      <x:c r="U78" s="12"/>
      <x:c r="V78" s="11"/>
      <x:c r="W78" s="11"/>
      <x:c r="X78" s="11"/>
      <x:c r="Y78" s="11" t="n">
        <x:v>0</x:v>
      </x:c>
      <x:c r="Z78" s="11" t="n">
        <x:v>0</x:v>
      </x:c>
      <x:c r="AA78" s="11" t="n">
        <x:v>0</x:v>
      </x:c>
      <x:c r="AB78" s="11" t="n">
        <x:v>0</x:v>
      </x:c>
      <x:c r="AC78" s="11" t="n">
        <x:v>0</x:v>
      </x:c>
      <x:c r="AD78" s="11" t="n">
        <x:v>0</x:v>
      </x:c>
      <x:c r="AE78" s="11" t="n">
        <x:v>1</x:v>
      </x:c>
      <x:c r="AF78" s="11" t="n">
        <x:v>0</x:v>
      </x:c>
      <x:c r="AG78" s="11"/>
      <x:c r="AH78" s="11" t="n">
        <x:v>1</x:v>
      </x:c>
      <x:c r="AI78" s="11"/>
      <x:c r="AJ78" s="11" t="str">
        <x:v>Somente anúncio; confirmar com fonte e vistoria</x:v>
      </x:c>
      <x:c r="AK78" s="1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</x:row>
    <x:row r="79">
      <x:c r="A79" s="16" t="str">
        <x:v>CNM-45968069</x:v>
      </x:c>
      <x:c r="B79" s="16" t="str">
        <x:v>Chaves na Mão</x:v>
      </x:c>
      <x:c r="C79" s="17" t="str">
        <x:v>https://www.chavesnamao.com.br/imovel/apartamento-a-venda-2-quartos-com-garagem-sc-florianopolis-centro-RS744000/id-45968069/</x:v>
      </x:c>
      <x:c r="D79" s="15" t="n">
        <x:v>46278.625</x:v>
      </x:c>
      <x:c r="E79" s="11" t="str">
        <x:v>Oferta</x:v>
      </x:c>
      <x:c r="F79" s="11" t="str">
        <x:v>Publicado na data da consulta</x:v>
      </x:c>
      <x:c r="G79" s="11" t="str">
        <x:v>Centro</x:v>
      </x:c>
      <x:c r="H79" s="11" t="str">
        <x:v>Rua Major Costa, 118</x:v>
      </x:c>
      <x:c r="I79" s="11"/>
      <x:c r="J79" s="12" t="n">
        <x:v>744000</x:v>
      </x:c>
      <x:c r="K79" s="13" t="n">
        <x:v>61</x:v>
      </x:c>
      <x:c r="L79" s="13"/>
      <x:c r="M79" s="12" t="n">
        <x:v>12196.72131147541</x:v>
      </x:c>
      <x:c r="N79" s="11" t="n">
        <x:v>2</x:v>
      </x:c>
      <x:c r="O79" s="11"/>
      <x:c r="P79" s="11" t="n">
        <x:v>1</x:v>
      </x:c>
      <x:c r="Q79" s="11" t="n">
        <x:v>1</x:v>
      </x:c>
      <x:c r="R79" s="12" t="n">
        <x:v>850</x:v>
      </x:c>
      <x:c r="S79" s="12"/>
      <x:c r="T79" s="12"/>
      <x:c r="U79" s="12"/>
      <x:c r="V79" s="11"/>
      <x:c r="W79" s="11"/>
      <x:c r="X79" s="11"/>
      <x:c r="Y79" s="11" t="n">
        <x:v>0</x:v>
      </x:c>
      <x:c r="Z79" s="11" t="n">
        <x:v>0</x:v>
      </x:c>
      <x:c r="AA79" s="11" t="n">
        <x:v>0</x:v>
      </x:c>
      <x:c r="AB79" s="11" t="n">
        <x:v>0</x:v>
      </x:c>
      <x:c r="AC79" s="11" t="n">
        <x:v>0</x:v>
      </x:c>
      <x:c r="AD79" s="11" t="n">
        <x:v>0</x:v>
      </x:c>
      <x:c r="AE79" s="11" t="n">
        <x:v>1</x:v>
      </x:c>
      <x:c r="AF79" s="11" t="n">
        <x:v>0</x:v>
      </x:c>
      <x:c r="AG79" s="11"/>
      <x:c r="AH79" s="11" t="n">
        <x:v>1</x:v>
      </x:c>
      <x:c r="AI79" s="11"/>
      <x:c r="AJ79" s="11" t="str">
        <x:v>Somente anúncio; confirmar com fonte e vistoria</x:v>
      </x:c>
      <x:c r="AK79" s="1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</x:row>
    <x:row r="80">
      <x:c r="A80" s="16" t="str">
        <x:v>CNM-42507972</x:v>
      </x:c>
      <x:c r="B80" s="16" t="str">
        <x:v>Chaves na Mão</x:v>
      </x:c>
      <x:c r="C80" s="17" t="str">
        <x:v>https://www.chavesnamao.com.br/imovel/apartamento-a-venda-2-quartos-com-garagem-sc-florianopolis-centro-100m2-RS1700000/id-42507972/</x:v>
      </x:c>
      <x:c r="D80" s="15" t="n">
        <x:v>46278.625</x:v>
      </x:c>
      <x:c r="E80" s="11" t="str">
        <x:v>Oferta</x:v>
      </x:c>
      <x:c r="F80" s="11" t="str">
        <x:v>Publicado na data da consulta</x:v>
      </x:c>
      <x:c r="G80" s="11" t="str">
        <x:v>Centro</x:v>
      </x:c>
      <x:c r="H80" s="11" t="str">
        <x:v>Avenida Mauro Ramos, 1502</x:v>
      </x:c>
      <x:c r="I80" s="11"/>
      <x:c r="J80" s="12" t="n">
        <x:v>1700000</x:v>
      </x:c>
      <x:c r="K80" s="13" t="n">
        <x:v>75</x:v>
      </x:c>
      <x:c r="L80" s="13"/>
      <x:c r="M80" s="12" t="n">
        <x:v>22666.666666666668</x:v>
      </x:c>
      <x:c r="N80" s="11" t="n">
        <x:v>2</x:v>
      </x:c>
      <x:c r="O80" s="11"/>
      <x:c r="P80" s="11" t="n">
        <x:v>2</x:v>
      </x:c>
      <x:c r="Q80" s="11" t="n">
        <x:v>2</x:v>
      </x:c>
      <x:c r="R80" s="12"/>
      <x:c r="S80" s="12"/>
      <x:c r="T80" s="12"/>
      <x:c r="U80" s="12"/>
      <x:c r="V80" s="11"/>
      <x:c r="W80" s="11"/>
      <x:c r="X80" s="11"/>
      <x:c r="Y80" s="11" t="n">
        <x:v>0</x:v>
      </x:c>
      <x:c r="Z80" s="11" t="n">
        <x:v>0</x:v>
      </x:c>
      <x:c r="AA80" s="11" t="n">
        <x:v>0</x:v>
      </x:c>
      <x:c r="AB80" s="11" t="n">
        <x:v>0</x:v>
      </x:c>
      <x:c r="AC80" s="11" t="n">
        <x:v>0</x:v>
      </x:c>
      <x:c r="AD80" s="11" t="n">
        <x:v>0</x:v>
      </x:c>
      <x:c r="AE80" s="11" t="n">
        <x:v>1</x:v>
      </x:c>
      <x:c r="AF80" s="11" t="n">
        <x:v>0</x:v>
      </x:c>
      <x:c r="AG80" s="11"/>
      <x:c r="AH80" s="11" t="n">
        <x:v>1</x:v>
      </x:c>
      <x:c r="AI80" s="11"/>
      <x:c r="AJ80" s="11" t="str">
        <x:v>Somente anúncio; confirmar com fonte e vistoria</x:v>
      </x:c>
      <x:c r="AK80" s="11" t="str">
        <x:v>URL informa área total 100 m².</x:v>
      </x:c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</x:row>
    <x:row r="81">
      <x:c r="A81" s="16" t="str">
        <x:v>CNM-44257369</x:v>
      </x:c>
      <x:c r="B81" s="16" t="str">
        <x:v>Chaves na Mão</x:v>
      </x:c>
      <x:c r="C81" s="17" t="str">
        <x:v>https://www.chavesnamao.com.br/imovel/apartamento-a-venda-2-quartos-sc-florianopolis-centro-113m2-RS590000/id-44257369/</x:v>
      </x:c>
      <x:c r="D81" s="15" t="n">
        <x:v>46278.625</x:v>
      </x:c>
      <x:c r="E81" s="11" t="str">
        <x:v>Oferta</x:v>
      </x:c>
      <x:c r="F81" s="11" t="str">
        <x:v>Publicado na data da consulta</x:v>
      </x:c>
      <x:c r="G81" s="11" t="str">
        <x:v>Centro</x:v>
      </x:c>
      <x:c r="H81" s="11" t="str">
        <x:v>Rua Felipe Schmidt, 583</x:v>
      </x:c>
      <x:c r="I81" s="11"/>
      <x:c r="J81" s="12" t="n">
        <x:v>590000</x:v>
      </x:c>
      <x:c r="K81" s="13" t="n">
        <x:v>113</x:v>
      </x:c>
      <x:c r="L81" s="13"/>
      <x:c r="M81" s="12" t="n">
        <x:v>5221.238938053098</x:v>
      </x:c>
      <x:c r="N81" s="11" t="n">
        <x:v>2</x:v>
      </x:c>
      <x:c r="O81" s="11"/>
      <x:c r="P81" s="11" t="n">
        <x:v>2</x:v>
      </x:c>
      <x:c r="Q81" s="11" t="n">
        <x:v>0</x:v>
      </x:c>
      <x:c r="R81" s="12" t="n">
        <x:v>700</x:v>
      </x:c>
      <x:c r="S81" s="12"/>
      <x:c r="T81" s="12"/>
      <x:c r="U81" s="12"/>
      <x:c r="V81" s="11"/>
      <x:c r="W81" s="11"/>
      <x:c r="X81" s="11"/>
      <x:c r="Y81" s="11" t="n">
        <x:v>0</x:v>
      </x:c>
      <x:c r="Z81" s="11" t="n">
        <x:v>0</x:v>
      </x:c>
      <x:c r="AA81" s="11" t="n">
        <x:v>0</x:v>
      </x:c>
      <x:c r="AB81" s="11" t="n">
        <x:v>0</x:v>
      </x:c>
      <x:c r="AC81" s="11" t="n">
        <x:v>0</x:v>
      </x:c>
      <x:c r="AD81" s="11" t="n">
        <x:v>0</x:v>
      </x:c>
      <x:c r="AE81" s="11" t="n">
        <x:v>1</x:v>
      </x:c>
      <x:c r="AF81" s="11" t="n">
        <x:v>0</x:v>
      </x:c>
      <x:c r="AG81" s="11"/>
      <x:c r="AH81" s="11" t="n">
        <x:v>1</x:v>
      </x:c>
      <x:c r="AI81" s="11"/>
      <x:c r="AJ81" s="11" t="str">
        <x:v>Somente anúncio; confirmar com fonte e vistoria</x:v>
      </x:c>
      <x:c r="AK81" s="1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</x:row>
    <x:row r="82">
      <x:c r="A82" s="16" t="str">
        <x:v>CNM-35072430</x:v>
      </x:c>
      <x:c r="B82" s="16" t="str">
        <x:v>Chaves na Mão</x:v>
      </x:c>
      <x:c r="C82" s="17" t="str">
        <x:v>https://www.chavesnamao.com.br/imovel/apartamento-a-venda-2-quartos-com-garagem-sc-florianopolis-centro-103m2-RS729000/id-35072430/</x:v>
      </x:c>
      <x:c r="D82" s="15" t="n">
        <x:v>46278.625</x:v>
      </x:c>
      <x:c r="E82" s="11" t="str">
        <x:v>Oferta</x:v>
      </x:c>
      <x:c r="F82" s="11" t="str">
        <x:v>Publicado na data da consulta</x:v>
      </x:c>
      <x:c r="G82" s="11" t="str">
        <x:v>Centro</x:v>
      </x:c>
      <x:c r="H82" s="11" t="str">
        <x:v>Avenida Mauro Ramos</x:v>
      </x:c>
      <x:c r="I82" s="11"/>
      <x:c r="J82" s="12" t="n">
        <x:v>729000</x:v>
      </x:c>
      <x:c r="K82" s="13" t="n">
        <x:v>80</x:v>
      </x:c>
      <x:c r="L82" s="13"/>
      <x:c r="M82" s="12" t="n">
        <x:v>9112.5</x:v>
      </x:c>
      <x:c r="N82" s="11" t="n">
        <x:v>2</x:v>
      </x:c>
      <x:c r="O82" s="11"/>
      <x:c r="P82" s="11" t="n">
        <x:v>2</x:v>
      </x:c>
      <x:c r="Q82" s="11" t="n">
        <x:v>1</x:v>
      </x:c>
      <x:c r="R82" s="12" t="n">
        <x:v>803</x:v>
      </x:c>
      <x:c r="S82" s="12"/>
      <x:c r="T82" s="12"/>
      <x:c r="U82" s="12"/>
      <x:c r="V82" s="11"/>
      <x:c r="W82" s="11"/>
      <x:c r="X82" s="11"/>
      <x:c r="Y82" s="11" t="n">
        <x:v>0</x:v>
      </x:c>
      <x:c r="Z82" s="11" t="n">
        <x:v>0</x:v>
      </x:c>
      <x:c r="AA82" s="11" t="n">
        <x:v>0</x:v>
      </x:c>
      <x:c r="AB82" s="11" t="n">
        <x:v>0</x:v>
      </x:c>
      <x:c r="AC82" s="11" t="n">
        <x:v>0</x:v>
      </x:c>
      <x:c r="AD82" s="11" t="n">
        <x:v>0</x:v>
      </x:c>
      <x:c r="AE82" s="11" t="n">
        <x:v>1</x:v>
      </x:c>
      <x:c r="AF82" s="11" t="n">
        <x:v>0</x:v>
      </x:c>
      <x:c r="AG82" s="11"/>
      <x:c r="AH82" s="11" t="n">
        <x:v>1</x:v>
      </x:c>
      <x:c r="AI82" s="11"/>
      <x:c r="AJ82" s="11" t="str">
        <x:v>Somente anúncio; confirmar com fonte e vistoria</x:v>
      </x:c>
      <x:c r="AK82" s="11" t="str">
        <x:v>URL informa área total 103 m².</x:v>
      </x:c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</x:row>
    <x:row r="83">
      <x:c r="A83" s="16" t="str">
        <x:v>CNM-42678534</x:v>
      </x:c>
      <x:c r="B83" s="16" t="str">
        <x:v>Chaves na Mão</x:v>
      </x:c>
      <x:c r="C83" s="17" t="str">
        <x:v>https://www.chavesnamao.com.br/imovel/apartamento-a-venda-2-quartos-com-garagem-sc-florianopolis-centro-94m2-RS750000/id-42678534/</x:v>
      </x:c>
      <x:c r="D83" s="15" t="n">
        <x:v>46278.625</x:v>
      </x:c>
      <x:c r="E83" s="11" t="str">
        <x:v>Oferta</x:v>
      </x:c>
      <x:c r="F83" s="11" t="str">
        <x:v>Publicado na data da consulta</x:v>
      </x:c>
      <x:c r="G83" s="11" t="str">
        <x:v>Centro</x:v>
      </x:c>
      <x:c r="H83" s="11" t="str">
        <x:v>Rua Padre Roma, 241</x:v>
      </x:c>
      <x:c r="I83" s="11"/>
      <x:c r="J83" s="12" t="n">
        <x:v>750000</x:v>
      </x:c>
      <x:c r="K83" s="13" t="n">
        <x:v>79</x:v>
      </x:c>
      <x:c r="L83" s="13"/>
      <x:c r="M83" s="12" t="n">
        <x:v>9493.67088607595</x:v>
      </x:c>
      <x:c r="N83" s="11" t="n">
        <x:v>2</x:v>
      </x:c>
      <x:c r="O83" s="11"/>
      <x:c r="P83" s="11"/>
      <x:c r="Q83" s="11" t="n">
        <x:v>1</x:v>
      </x:c>
      <x:c r="R83" s="12" t="n">
        <x:v>600</x:v>
      </x:c>
      <x:c r="S83" s="12"/>
      <x:c r="T83" s="12"/>
      <x:c r="U83" s="12"/>
      <x:c r="V83" s="11"/>
      <x:c r="W83" s="11"/>
      <x:c r="X83" s="11"/>
      <x:c r="Y83" s="11" t="n">
        <x:v>0</x:v>
      </x:c>
      <x:c r="Z83" s="11" t="n">
        <x:v>0</x:v>
      </x:c>
      <x:c r="AA83" s="11" t="n">
        <x:v>0</x:v>
      </x:c>
      <x:c r="AB83" s="11" t="n">
        <x:v>0</x:v>
      </x:c>
      <x:c r="AC83" s="11" t="n">
        <x:v>0</x:v>
      </x:c>
      <x:c r="AD83" s="11" t="n">
        <x:v>0</x:v>
      </x:c>
      <x:c r="AE83" s="11" t="n">
        <x:v>1</x:v>
      </x:c>
      <x:c r="AF83" s="11" t="n">
        <x:v>0</x:v>
      </x:c>
      <x:c r="AG83" s="11"/>
      <x:c r="AH83" s="11" t="n">
        <x:v>1</x:v>
      </x:c>
      <x:c r="AI83" s="11"/>
      <x:c r="AJ83" s="11" t="str">
        <x:v>Somente anúncio; confirmar com fonte e vistoria</x:v>
      </x:c>
      <x:c r="AK83" s="11" t="str">
        <x:v>URL informa área total 94 m².</x:v>
      </x:c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</x:row>
    <x:row r="84">
      <x:c r="A84" s="16" t="str">
        <x:v>CNM-38502377</x:v>
      </x:c>
      <x:c r="B84" s="16" t="str">
        <x:v>Chaves na Mão</x:v>
      </x:c>
      <x:c r="C84" s="17" t="str">
        <x:v>https://www.chavesnamao.com.br/imovel/apartamento-a-venda-2-quartos-com-garagem-sc-florianopolis-centro-93m2-RS1325000/id-38502377/</x:v>
      </x:c>
      <x:c r="D84" s="15" t="n">
        <x:v>46278.625</x:v>
      </x:c>
      <x:c r="E84" s="11" t="str">
        <x:v>Oferta</x:v>
      </x:c>
      <x:c r="F84" s="11" t="str">
        <x:v>Publicado na data da consulta</x:v>
      </x:c>
      <x:c r="G84" s="11" t="str">
        <x:v>Centro</x:v>
      </x:c>
      <x:c r="H84" s="11" t="str">
        <x:v>Rua Hermann Blumenau</x:v>
      </x:c>
      <x:c r="I84" s="11"/>
      <x:c r="J84" s="12" t="n">
        <x:v>1325000</x:v>
      </x:c>
      <x:c r="K84" s="13" t="n">
        <x:v>67</x:v>
      </x:c>
      <x:c r="L84" s="13"/>
      <x:c r="M84" s="12" t="n">
        <x:v>19776.119402985074</x:v>
      </x:c>
      <x:c r="N84" s="11" t="n">
        <x:v>2</x:v>
      </x:c>
      <x:c r="O84" s="11"/>
      <x:c r="P84" s="11" t="n">
        <x:v>2</x:v>
      </x:c>
      <x:c r="Q84" s="11" t="n">
        <x:v>1</x:v>
      </x:c>
      <x:c r="R84" s="12" t="n">
        <x:v>646</x:v>
      </x:c>
      <x:c r="S84" s="12"/>
      <x:c r="T84" s="12"/>
      <x:c r="U84" s="12"/>
      <x:c r="V84" s="11"/>
      <x:c r="W84" s="11"/>
      <x:c r="X84" s="11"/>
      <x:c r="Y84" s="11" t="n">
        <x:v>0</x:v>
      </x:c>
      <x:c r="Z84" s="11" t="n">
        <x:v>0</x:v>
      </x:c>
      <x:c r="AA84" s="11" t="n">
        <x:v>0</x:v>
      </x:c>
      <x:c r="AB84" s="11" t="n">
        <x:v>0</x:v>
      </x:c>
      <x:c r="AC84" s="11" t="n">
        <x:v>0</x:v>
      </x:c>
      <x:c r="AD84" s="11" t="n">
        <x:v>0</x:v>
      </x:c>
      <x:c r="AE84" s="11" t="n">
        <x:v>1</x:v>
      </x:c>
      <x:c r="AF84" s="11" t="n">
        <x:v>0</x:v>
      </x:c>
      <x:c r="AG84" s="11"/>
      <x:c r="AH84" s="11" t="n">
        <x:v>1</x:v>
      </x:c>
      <x:c r="AI84" s="11"/>
      <x:c r="AJ84" s="11" t="str">
        <x:v>Somente anúncio; confirmar com fonte e vistoria</x:v>
      </x:c>
      <x:c r="AK84" s="11" t="str">
        <x:v>URL informa área total 93 m².</x:v>
      </x:c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</x:row>
    <x:row r="85">
      <x:c r="A85" s="16" t="str">
        <x:v>CNM-45092268</x:v>
      </x:c>
      <x:c r="B85" s="16" t="str">
        <x:v>Chaves na Mão</x:v>
      </x:c>
      <x:c r="C85" s="17" t="str">
        <x:v>https://www.chavesnamao.com.br/imovel/apartamento-a-venda-2-quartos-com-garagem-sc-florianopolis-centro-80m2-RS1550000/id-45092268/</x:v>
      </x:c>
      <x:c r="D85" s="15" t="n">
        <x:v>46278.625</x:v>
      </x:c>
      <x:c r="E85" s="11" t="str">
        <x:v>Oferta</x:v>
      </x:c>
      <x:c r="F85" s="11" t="str">
        <x:v>Publicado na data da consulta</x:v>
      </x:c>
      <x:c r="G85" s="11" t="str">
        <x:v>Centro</x:v>
      </x:c>
      <x:c r="H85" s="11" t="str">
        <x:v>Rua Brigadeiro Silva Paes</x:v>
      </x:c>
      <x:c r="I85" s="11"/>
      <x:c r="J85" s="12" t="n">
        <x:v>1550000</x:v>
      </x:c>
      <x:c r="K85" s="13" t="n">
        <x:v>80</x:v>
      </x:c>
      <x:c r="L85" s="13"/>
      <x:c r="M85" s="12" t="n">
        <x:v>19375</x:v>
      </x:c>
      <x:c r="N85" s="11" t="n">
        <x:v>2</x:v>
      </x:c>
      <x:c r="O85" s="11"/>
      <x:c r="P85" s="11" t="n">
        <x:v>2</x:v>
      </x:c>
      <x:c r="Q85" s="11" t="n">
        <x:v>2</x:v>
      </x:c>
      <x:c r="R85" s="12" t="n">
        <x:v>1194</x:v>
      </x:c>
      <x:c r="S85" s="12"/>
      <x:c r="T85" s="12"/>
      <x:c r="U85" s="12"/>
      <x:c r="V85" s="11"/>
      <x:c r="W85" s="11"/>
      <x:c r="X85" s="11"/>
      <x:c r="Y85" s="11" t="n">
        <x:v>0</x:v>
      </x:c>
      <x:c r="Z85" s="11" t="n">
        <x:v>0</x:v>
      </x:c>
      <x:c r="AA85" s="11" t="n">
        <x:v>0</x:v>
      </x:c>
      <x:c r="AB85" s="11" t="n">
        <x:v>0</x:v>
      </x:c>
      <x:c r="AC85" s="11" t="n">
        <x:v>0</x:v>
      </x:c>
      <x:c r="AD85" s="11" t="n">
        <x:v>0</x:v>
      </x:c>
      <x:c r="AE85" s="11" t="n">
        <x:v>1</x:v>
      </x:c>
      <x:c r="AF85" s="11" t="n">
        <x:v>0</x:v>
      </x:c>
      <x:c r="AG85" s="11"/>
      <x:c r="AH85" s="11" t="n">
        <x:v>1</x:v>
      </x:c>
      <x:c r="AI85" s="11"/>
      <x:c r="AJ85" s="11" t="str">
        <x:v>Somente anúncio; confirmar com fonte e vistoria</x:v>
      </x:c>
      <x:c r="AK85" s="1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</x:row>
    <x:row r="86">
      <x:c r="A86" s="16" t="str">
        <x:v>CNM-44235457</x:v>
      </x:c>
      <x:c r="B86" s="16" t="str">
        <x:v>Chaves na Mão</x:v>
      </x:c>
      <x:c r="C86" s="17" t="str">
        <x:v>https://www.chavesnamao.com.br/imovel/apartamento-a-venda-2-quartos-com-garagem-sc-florianopolis-centro-100m2-RS630000/id-44235457/</x:v>
      </x:c>
      <x:c r="D86" s="15" t="n">
        <x:v>46278.625</x:v>
      </x:c>
      <x:c r="E86" s="11" t="str">
        <x:v>Oferta</x:v>
      </x:c>
      <x:c r="F86" s="11" t="str">
        <x:v>Publicado na data da consulta</x:v>
      </x:c>
      <x:c r="G86" s="11" t="str">
        <x:v>Centro</x:v>
      </x:c>
      <x:c r="H86" s="11" t="str">
        <x:v>Rua Visconde de Ouro Preto, 18</x:v>
      </x:c>
      <x:c r="I86" s="11"/>
      <x:c r="J86" s="12" t="n">
        <x:v>630000</x:v>
      </x:c>
      <x:c r="K86" s="13" t="n">
        <x:v>76</x:v>
      </x:c>
      <x:c r="L86" s="13"/>
      <x:c r="M86" s="12" t="n">
        <x:v>8289.473684210527</x:v>
      </x:c>
      <x:c r="N86" s="11" t="n">
        <x:v>2</x:v>
      </x:c>
      <x:c r="O86" s="11"/>
      <x:c r="P86" s="11" t="n">
        <x:v>1</x:v>
      </x:c>
      <x:c r="Q86" s="11" t="n">
        <x:v>1</x:v>
      </x:c>
      <x:c r="R86" s="12" t="n">
        <x:v>1100</x:v>
      </x:c>
      <x:c r="S86" s="12"/>
      <x:c r="T86" s="12"/>
      <x:c r="U86" s="12"/>
      <x:c r="V86" s="11"/>
      <x:c r="W86" s="11"/>
      <x:c r="X86" s="11"/>
      <x:c r="Y86" s="11" t="n">
        <x:v>0</x:v>
      </x:c>
      <x:c r="Z86" s="11" t="n">
        <x:v>0</x:v>
      </x:c>
      <x:c r="AA86" s="11" t="n">
        <x:v>0</x:v>
      </x:c>
      <x:c r="AB86" s="11" t="n">
        <x:v>0</x:v>
      </x:c>
      <x:c r="AC86" s="11" t="n">
        <x:v>0</x:v>
      </x:c>
      <x:c r="AD86" s="11" t="n">
        <x:v>0</x:v>
      </x:c>
      <x:c r="AE86" s="11" t="n">
        <x:v>1</x:v>
      </x:c>
      <x:c r="AF86" s="11" t="n">
        <x:v>0</x:v>
      </x:c>
      <x:c r="AG86" s="11"/>
      <x:c r="AH86" s="11" t="n">
        <x:v>1</x:v>
      </x:c>
      <x:c r="AI86" s="11"/>
      <x:c r="AJ86" s="11" t="str">
        <x:v>Somente anúncio; confirmar com fonte e vistoria</x:v>
      </x:c>
      <x:c r="AK86" s="11" t="str">
        <x:v>URL informa área total 100 m².</x:v>
      </x:c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</x:row>
    <x:row r="87">
      <x:c r="A87" s="16" t="str">
        <x:v>CNM-40661919</x:v>
      </x:c>
      <x:c r="B87" s="16" t="str">
        <x:v>Chaves na Mão</x:v>
      </x:c>
      <x:c r="C87" s="17" t="str">
        <x:v>https://www.chavesnamao.com.br/imovel/apartamento-a-venda-2-quartos-sc-florianopolis-centro-72m2-RS550000/id-40661919/</x:v>
      </x:c>
      <x:c r="D87" s="15" t="n">
        <x:v>46278.625</x:v>
      </x:c>
      <x:c r="E87" s="11" t="str">
        <x:v>Oferta</x:v>
      </x:c>
      <x:c r="F87" s="11" t="str">
        <x:v>Publicado na data da consulta</x:v>
      </x:c>
      <x:c r="G87" s="11" t="str">
        <x:v>Centro</x:v>
      </x:c>
      <x:c r="H87" s="11" t="str">
        <x:v>Rua João Pinto, 30</x:v>
      </x:c>
      <x:c r="I87" s="11"/>
      <x:c r="J87" s="12" t="n">
        <x:v>550000</x:v>
      </x:c>
      <x:c r="K87" s="13" t="n">
        <x:v>72</x:v>
      </x:c>
      <x:c r="L87" s="13"/>
      <x:c r="M87" s="12" t="n">
        <x:v>7638.888888888889</x:v>
      </x:c>
      <x:c r="N87" s="11" t="n">
        <x:v>2</x:v>
      </x:c>
      <x:c r="O87" s="11"/>
      <x:c r="P87" s="11" t="n">
        <x:v>1</x:v>
      </x:c>
      <x:c r="Q87" s="11" t="n">
        <x:v>0</x:v>
      </x:c>
      <x:c r="R87" s="12" t="n">
        <x:v>747</x:v>
      </x:c>
      <x:c r="S87" s="12"/>
      <x:c r="T87" s="12"/>
      <x:c r="U87" s="12"/>
      <x:c r="V87" s="11"/>
      <x:c r="W87" s="11"/>
      <x:c r="X87" s="11"/>
      <x:c r="Y87" s="11" t="n">
        <x:v>0</x:v>
      </x:c>
      <x:c r="Z87" s="11" t="n">
        <x:v>0</x:v>
      </x:c>
      <x:c r="AA87" s="11" t="n">
        <x:v>0</x:v>
      </x:c>
      <x:c r="AB87" s="11" t="n">
        <x:v>0</x:v>
      </x:c>
      <x:c r="AC87" s="11" t="n">
        <x:v>0</x:v>
      </x:c>
      <x:c r="AD87" s="11" t="n">
        <x:v>0</x:v>
      </x:c>
      <x:c r="AE87" s="11" t="n">
        <x:v>1</x:v>
      </x:c>
      <x:c r="AF87" s="11" t="n">
        <x:v>0</x:v>
      </x:c>
      <x:c r="AG87" s="11"/>
      <x:c r="AH87" s="11" t="n">
        <x:v>1</x:v>
      </x:c>
      <x:c r="AI87" s="11"/>
      <x:c r="AJ87" s="11" t="str">
        <x:v>Somente anúncio; confirmar com fonte e vistoria</x:v>
      </x:c>
      <x:c r="AK87" s="1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</x:row>
    <x:row r="88">
      <x:c r="A88" s="16" t="str">
        <x:v>CNM-39747244</x:v>
      </x:c>
      <x:c r="B88" s="16" t="str">
        <x:v>Chaves na Mão</x:v>
      </x:c>
      <x:c r="C88" s="17" t="str">
        <x:v>https://www.chavesnamao.com.br/imovel/apartamento-a-venda-2-quartos-com-garagem-sc-florianopolis-centro-92m2-RS1831982/id-39747244/</x:v>
      </x:c>
      <x:c r="D88" s="15" t="n">
        <x:v>46278.625</x:v>
      </x:c>
      <x:c r="E88" s="11" t="str">
        <x:v>Oferta</x:v>
      </x:c>
      <x:c r="F88" s="11" t="str">
        <x:v>Publicado na data da consulta</x:v>
      </x:c>
      <x:c r="G88" s="11" t="str">
        <x:v>Centro</x:v>
      </x:c>
      <x:c r="H88" s="11" t="str">
        <x:v>Rua Desembargador Urbano Salles, 99</x:v>
      </x:c>
      <x:c r="I88" s="11"/>
      <x:c r="J88" s="12" t="n">
        <x:v>1831982</x:v>
      </x:c>
      <x:c r="K88" s="13" t="n">
        <x:v>92</x:v>
      </x:c>
      <x:c r="L88" s="13"/>
      <x:c r="M88" s="12" t="n">
        <x:v>19912.847826086956</x:v>
      </x:c>
      <x:c r="N88" s="11" t="n">
        <x:v>2</x:v>
      </x:c>
      <x:c r="O88" s="11"/>
      <x:c r="P88" s="11" t="n">
        <x:v>3</x:v>
      </x:c>
      <x:c r="Q88" s="11" t="n">
        <x:v>1</x:v>
      </x:c>
      <x:c r="R88" s="12"/>
      <x:c r="S88" s="12"/>
      <x:c r="T88" s="12"/>
      <x:c r="U88" s="12"/>
      <x:c r="V88" s="11"/>
      <x:c r="W88" s="11"/>
      <x:c r="X88" s="11"/>
      <x:c r="Y88" s="11" t="n">
        <x:v>0</x:v>
      </x:c>
      <x:c r="Z88" s="11" t="n">
        <x:v>0</x:v>
      </x:c>
      <x:c r="AA88" s="11" t="n">
        <x:v>0</x:v>
      </x:c>
      <x:c r="AB88" s="11" t="n">
        <x:v>0</x:v>
      </x:c>
      <x:c r="AC88" s="11" t="n">
        <x:v>0</x:v>
      </x:c>
      <x:c r="AD88" s="11" t="n">
        <x:v>0</x:v>
      </x:c>
      <x:c r="AE88" s="11" t="n">
        <x:v>1</x:v>
      </x:c>
      <x:c r="AF88" s="11" t="n">
        <x:v>0</x:v>
      </x:c>
      <x:c r="AG88" s="11"/>
      <x:c r="AH88" s="11" t="n">
        <x:v>1</x:v>
      </x:c>
      <x:c r="AI88" s="11"/>
      <x:c r="AJ88" s="11" t="str">
        <x:v>Somente anúncio; confirmar com fonte e vistoria</x:v>
      </x:c>
      <x:c r="AK88" s="1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</x:row>
    <x:row r="89">
      <x:c r="A89" s="16" t="str">
        <x:v>CNM-44106864</x:v>
      </x:c>
      <x:c r="B89" s="16" t="str">
        <x:v>Chaves na Mão</x:v>
      </x:c>
      <x:c r="C89" s="17" t="str">
        <x:v>https://www.chavesnamao.com.br/imovel/apartamento-a-venda-2-quartos-com-garagem-sc-florianopolis-centro-95m2-RS1150000/id-44106864/</x:v>
      </x:c>
      <x:c r="D89" s="15" t="n">
        <x:v>46278.625</x:v>
      </x:c>
      <x:c r="E89" s="11" t="str">
        <x:v>Oferta</x:v>
      </x:c>
      <x:c r="F89" s="11" t="str">
        <x:v>Publicado na data da consulta</x:v>
      </x:c>
      <x:c r="G89" s="11" t="str">
        <x:v>Centro</x:v>
      </x:c>
      <x:c r="H89" s="11" t="str">
        <x:v>Rua Hermann Blumenau, 121</x:v>
      </x:c>
      <x:c r="I89" s="11"/>
      <x:c r="J89" s="12" t="n">
        <x:v>1150000</x:v>
      </x:c>
      <x:c r="K89" s="13" t="n">
        <x:v>68</x:v>
      </x:c>
      <x:c r="L89" s="13"/>
      <x:c r="M89" s="12" t="n">
        <x:v>16911.764705882353</x:v>
      </x:c>
      <x:c r="N89" s="11" t="n">
        <x:v>2</x:v>
      </x:c>
      <x:c r="O89" s="11" t="n">
        <x:v>1</x:v>
      </x:c>
      <x:c r="P89" s="11" t="n">
        <x:v>2</x:v>
      </x:c>
      <x:c r="Q89" s="11" t="n">
        <x:v>2</x:v>
      </x:c>
      <x:c r="R89" s="12" t="n">
        <x:v>888</x:v>
      </x:c>
      <x:c r="S89" s="12"/>
      <x:c r="T89" s="12"/>
      <x:c r="U89" s="12"/>
      <x:c r="V89" s="11"/>
      <x:c r="W89" s="11"/>
      <x:c r="X89" s="11"/>
      <x:c r="Y89" s="11" t="n">
        <x:v>0</x:v>
      </x:c>
      <x:c r="Z89" s="11" t="n">
        <x:v>0</x:v>
      </x:c>
      <x:c r="AA89" s="11" t="n">
        <x:v>0</x:v>
      </x:c>
      <x:c r="AB89" s="11" t="n">
        <x:v>0</x:v>
      </x:c>
      <x:c r="AC89" s="11" t="n">
        <x:v>0</x:v>
      </x:c>
      <x:c r="AD89" s="11" t="n">
        <x:v>0</x:v>
      </x:c>
      <x:c r="AE89" s="11" t="n">
        <x:v>1</x:v>
      </x:c>
      <x:c r="AF89" s="11" t="n">
        <x:v>0</x:v>
      </x:c>
      <x:c r="AG89" s="11"/>
      <x:c r="AH89" s="11" t="n">
        <x:v>1</x:v>
      </x:c>
      <x:c r="AI89" s="11"/>
      <x:c r="AJ89" s="11" t="str">
        <x:v>Somente anúncio; confirmar com fonte e vistoria</x:v>
      </x:c>
      <x:c r="AK89" s="11" t="str">
        <x:v>URL informa área total 95 m².</x:v>
      </x:c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</x:row>
    <x:row r="90">
      <x:c r="A90" s="16" t="str">
        <x:v>CNM-43109740</x:v>
      </x:c>
      <x:c r="B90" s="16" t="str">
        <x:v>Chaves na Mão</x:v>
      </x:c>
      <x:c r="C90" s="17" t="str">
        <x:v>https://www.chavesnamao.com.br/imovel/apartamento-a-venda-2-quartos-com-garagem-sc-florianopolis-centro-127m2-RS2000000/id-43109740/</x:v>
      </x:c>
      <x:c r="D90" s="15" t="n">
        <x:v>46278.625</x:v>
      </x:c>
      <x:c r="E90" s="11" t="str">
        <x:v>Oferta</x:v>
      </x:c>
      <x:c r="F90" s="11" t="str">
        <x:v>Publicado na data da consulta</x:v>
      </x:c>
      <x:c r="G90" s="11" t="str">
        <x:v>Centro</x:v>
      </x:c>
      <x:c r="H90" s="11" t="str">
        <x:v>Rua Hoepcke, 185</x:v>
      </x:c>
      <x:c r="I90" s="11"/>
      <x:c r="J90" s="12" t="n">
        <x:v>2000000</x:v>
      </x:c>
      <x:c r="K90" s="13" t="n">
        <x:v>97</x:v>
      </x:c>
      <x:c r="L90" s="13"/>
      <x:c r="M90" s="12" t="n">
        <x:v>20618.556701030928</x:v>
      </x:c>
      <x:c r="N90" s="11" t="n">
        <x:v>2</x:v>
      </x:c>
      <x:c r="O90" s="11" t="n">
        <x:v>2</x:v>
      </x:c>
      <x:c r="P90" s="11" t="n">
        <x:v>3</x:v>
      </x:c>
      <x:c r="Q90" s="11" t="n">
        <x:v>1</x:v>
      </x:c>
      <x:c r="R90" s="12" t="n">
        <x:v>618</x:v>
      </x:c>
      <x:c r="S90" s="12"/>
      <x:c r="T90" s="12"/>
      <x:c r="U90" s="12"/>
      <x:c r="V90" s="11"/>
      <x:c r="W90" s="11"/>
      <x:c r="X90" s="11"/>
      <x:c r="Y90" s="11" t="n">
        <x:v>0</x:v>
      </x:c>
      <x:c r="Z90" s="11" t="n">
        <x:v>0</x:v>
      </x:c>
      <x:c r="AA90" s="11" t="n">
        <x:v>0</x:v>
      </x:c>
      <x:c r="AB90" s="11" t="n">
        <x:v>0</x:v>
      </x:c>
      <x:c r="AC90" s="11" t="n">
        <x:v>0</x:v>
      </x:c>
      <x:c r="AD90" s="11" t="n">
        <x:v>0</x:v>
      </x:c>
      <x:c r="AE90" s="11" t="n">
        <x:v>1</x:v>
      </x:c>
      <x:c r="AF90" s="11" t="n">
        <x:v>0</x:v>
      </x:c>
      <x:c r="AG90" s="11"/>
      <x:c r="AH90" s="11" t="n">
        <x:v>1</x:v>
      </x:c>
      <x:c r="AI90" s="11"/>
      <x:c r="AJ90" s="11" t="str">
        <x:v>Somente anúncio; confirmar com fonte e vistoria</x:v>
      </x:c>
      <x:c r="AK90" s="11" t="str">
        <x:v>URL informa área total 127 m².</x:v>
      </x:c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</x:row>
    <x:row r="91">
      <x:c r="A91" s="16" t="str">
        <x:v>CNM-45010554</x:v>
      </x:c>
      <x:c r="B91" s="16" t="str">
        <x:v>Chaves na Mão</x:v>
      </x:c>
      <x:c r="C91" s="17" t="str">
        <x:v>https://www.chavesnamao.com.br/imovel/apartamento-a-venda-2-quartos-com-garagem-sc-florianopolis-centro-101m2-RS999000/id-45010554/</x:v>
      </x:c>
      <x:c r="D91" s="15" t="n">
        <x:v>46278.625</x:v>
      </x:c>
      <x:c r="E91" s="11" t="str">
        <x:v>Oferta</x:v>
      </x:c>
      <x:c r="F91" s="11" t="str">
        <x:v>Publicado na data da consulta</x:v>
      </x:c>
      <x:c r="G91" s="11" t="str">
        <x:v>Centro</x:v>
      </x:c>
      <x:c r="H91" s="11" t="str">
        <x:v>Rua Almirante Lamego, 747</x:v>
      </x:c>
      <x:c r="I91" s="11"/>
      <x:c r="J91" s="12" t="n">
        <x:v>999000</x:v>
      </x:c>
      <x:c r="K91" s="13" t="n">
        <x:v>77</x:v>
      </x:c>
      <x:c r="L91" s="13"/>
      <x:c r="M91" s="12" t="n">
        <x:v>12974.025974025973</x:v>
      </x:c>
      <x:c r="N91" s="11" t="n">
        <x:v>2</x:v>
      </x:c>
      <x:c r="O91" s="11"/>
      <x:c r="P91" s="11" t="n">
        <x:v>1</x:v>
      </x:c>
      <x:c r="Q91" s="11" t="n">
        <x:v>1</x:v>
      </x:c>
      <x:c r="R91" s="12" t="n">
        <x:v>1095</x:v>
      </x:c>
      <x:c r="S91" s="12"/>
      <x:c r="T91" s="12"/>
      <x:c r="U91" s="12"/>
      <x:c r="V91" s="11"/>
      <x:c r="W91" s="11"/>
      <x:c r="X91" s="11"/>
      <x:c r="Y91" s="11" t="n">
        <x:v>0</x:v>
      </x:c>
      <x:c r="Z91" s="11" t="n">
        <x:v>0</x:v>
      </x:c>
      <x:c r="AA91" s="11" t="n">
        <x:v>0</x:v>
      </x:c>
      <x:c r="AB91" s="11" t="n">
        <x:v>0</x:v>
      </x:c>
      <x:c r="AC91" s="11" t="n">
        <x:v>0</x:v>
      </x:c>
      <x:c r="AD91" s="11" t="n">
        <x:v>0</x:v>
      </x:c>
      <x:c r="AE91" s="11" t="n">
        <x:v>1</x:v>
      </x:c>
      <x:c r="AF91" s="11" t="n">
        <x:v>0</x:v>
      </x:c>
      <x:c r="AG91" s="11"/>
      <x:c r="AH91" s="11" t="n">
        <x:v>1</x:v>
      </x:c>
      <x:c r="AI91" s="11"/>
      <x:c r="AJ91" s="11" t="str">
        <x:v>Somente anúncio; confirmar com fonte e vistoria</x:v>
      </x:c>
      <x:c r="AK91" s="11" t="str">
        <x:v>URL informa área total 101 m².</x:v>
      </x:c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/>
      <x:c r="AR181" s="1"/>
      <x:c r="AS181" s="1"/>
      <x:c r="AT181" s="1"/>
      <x:c r="AU181" s="1"/>
      <x:c r="AV181" s="1"/>
      <x:c r="AW181" s="1"/>
      <x:c r="AX181" s="1"/>
      <x:c r="AY181" s="1"/>
      <x:c r="A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/>
      <x:c r="AR183" s="1"/>
      <x:c r="AS183" s="1"/>
      <x:c r="AT183" s="1"/>
      <x:c r="AU183" s="1"/>
      <x:c r="AV183" s="1"/>
      <x:c r="AW183" s="1"/>
      <x:c r="AX183" s="1"/>
      <x:c r="AY183" s="1"/>
      <x:c r="A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</x:row>
  </x:sheetData>
  <x:mergeCells>
    <x:mergeCell ref="A2:AJ2"/>
    <x:mergeCell ref="A3:AJ3"/>
  </x:mergeCells>
  <x:conditionalFormatting sqref="AH5:AH91">
    <x:cfRule type="cellIs" dxfId="0" priority="1" operator="equal">
      <x:formula>0</x:formula>
    </x:cfRule>
    <x:cfRule type="cellIs" dxfId="1" priority="2" operator="equal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275e725501a440a"/>
  </x:tableParts>
</x:worksheet>
</file>

<file path=xl/worksheets/sheet5.xml><?xml version="1.0" encoding="utf-8"?>
<x:worksheet xmlns:x="http://schemas.openxmlformats.org/spreadsheetml/2006/main">
  <x:sheetPr>
    <x:tabColor rgb="FF70AD47"/>
  </x:sheetPr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4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>
      <x:c r="A2" s="81" t="str">
        <x:v>Dicionário de variáveis</x:v>
      </x:c>
      <x:c r="B2" s="81"/>
      <x:c r="C2" s="81"/>
      <x:c r="D2" s="81"/>
      <x:c r="E2" s="81"/>
      <x:c r="F2" s="8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</x:row>
    <x:row r="4">
      <x:c r="A4" s="64" t="str">
        <x:v>Variável</x:v>
      </x:c>
      <x:c r="B4" s="65" t="str">
        <x:v>Tipo</x:v>
      </x:c>
      <x:c r="C4" s="65" t="str">
        <x:v>Unidade/código</x:v>
      </x:c>
      <x:c r="D4" s="65" t="str">
        <x:v>Origem</x:v>
      </x:c>
      <x:c r="E4" s="65" t="str">
        <x:v>Uso sugerido</x:v>
      </x:c>
      <x:c r="F4" s="66" t="str">
        <x:v>Observação</x:v>
      </x:c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</x:row>
    <x:row r="5" ht="42" customHeight="1">
      <x:c r="A5" s="71" t="str">
        <x:v>Incluir</x:v>
      </x:c>
      <x:c r="B5" s="72" t="str">
        <x:v>Binária</x:v>
      </x:c>
      <x:c r="C5" s="72" t="str">
        <x:v>1 = usar; 0 = excluir</x:v>
      </x:c>
      <x:c r="D5" s="72" t="str">
        <x:v>Saneamento preliminar</x:v>
      </x:c>
      <x:c r="E5" s="72" t="str">
        <x:v>Filtro antes da regressão</x:v>
      </x:c>
      <x:c r="F5" s="73" t="str">
        <x:v>Revisão humana obrigatória; motivo fica na coluna adjacente.</x:v>
      </x:c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</x:row>
    <x:row r="6" ht="42" customHeight="1">
      <x:c r="A6" s="71" t="str">
        <x:v>Preco_oferta_R$</x:v>
      </x:c>
      <x:c r="B6" s="72" t="str">
        <x:v>Quantitativa</x:v>
      </x:c>
      <x:c r="C6" s="72" t="str">
        <x:v>R$</x:v>
      </x:c>
      <x:c r="D6" s="72" t="str">
        <x:v>Anúncio</x:v>
      </x:c>
      <x:c r="E6" s="72" t="str">
        <x:v>Variável dependente possível</x:v>
      </x:c>
      <x:c r="F6" s="73" t="str">
        <x:v>Preço pedido, não transacionado.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</x:row>
    <x:row r="7" ht="42" customHeight="1">
      <x:c r="A7" s="71" t="str">
        <x:v>Preco_modelo_R$</x:v>
      </x:c>
      <x:c r="B7" s="72" t="str">
        <x:v>Calculada</x:v>
      </x:c>
      <x:c r="C7" s="72" t="str">
        <x:v>R$</x:v>
      </x:c>
      <x:c r="D7" s="72" t="str">
        <x:v>Preco_oferta e Incluir</x:v>
      </x:c>
      <x:c r="E7" s="72" t="str">
        <x:v>Dependente para linhas ativas</x:v>
      </x:c>
      <x:c r="F7" s="73" t="str">
        <x:v>Fica em branco quando Incluir = 0.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</x:row>
    <x:row r="8" ht="42" customHeight="1">
      <x:c r="A8" s="71" t="str">
        <x:v>Area_priv_m2</x:v>
      </x:c>
      <x:c r="B8" s="72" t="str">
        <x:v>Quantitativa</x:v>
      </x:c>
      <x:c r="C8" s="72" t="str">
        <x:v>m² privativos</x:v>
      </x:c>
      <x:c r="D8" s="72" t="str">
        <x:v>Anúncio</x:v>
      </x:c>
      <x:c r="E8" s="72" t="str">
        <x:v>Explicativa principal</x:v>
      </x:c>
      <x:c r="F8" s="73" t="str">
        <x:v>Confirmar matrícula/planta quando possível.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</x:row>
    <x:row r="9" ht="42" customHeight="1">
      <x:c r="A9" s="71" t="str">
        <x:v>Preco_unit_R$_m2</x:v>
      </x:c>
      <x:c r="B9" s="72" t="str">
        <x:v>Calculada</x:v>
      </x:c>
      <x:c r="C9" s="72" t="str">
        <x:v>R$/m²</x:v>
      </x:c>
      <x:c r="D9" s="72" t="str">
        <x:v>Preço / área privativa</x:v>
      </x:c>
      <x:c r="E9" s="72" t="str">
        <x:v>Diagnóstico ou dependente alternativa</x:v>
      </x:c>
      <x:c r="F9" s="73" t="str">
        <x:v>Não usar simultaneamente com preço total como duas dependentes.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</x:row>
    <x:row r="10" ht="42" customHeight="1">
      <x:c r="A10" s="71" t="str">
        <x:v>Dormitorios; Suites; Banheiros; Vagas</x:v>
      </x:c>
      <x:c r="B10" s="72" t="str">
        <x:v>Quantitativas</x:v>
      </x:c>
      <x:c r="C10" s="72" t="str">
        <x:v>Contagem</x:v>
      </x:c>
      <x:c r="D10" s="72" t="str">
        <x:v>Anúncio</x:v>
      </x:c>
      <x:c r="E10" s="72" t="str">
        <x:v>Explicativas candidatas</x:v>
      </x:c>
      <x:c r="F10" s="73" t="str">
        <x:v>Testar colinearidade e micronumerosidade.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</x:row>
    <x:row r="11" ht="42" customHeight="1">
      <x:c r="A11" s="71" t="str">
        <x:v>Elevador_1_0 e amenidades</x:v>
      </x:c>
      <x:c r="B11" s="72" t="str">
        <x:v>Binárias</x:v>
      </x:c>
      <x:c r="C11" s="72" t="str">
        <x:v>1 = publicado; 0 = não identificado no texto</x:v>
      </x:c>
      <x:c r="D11" s="72" t="str">
        <x:v>Anúncio</x:v>
      </x:c>
      <x:c r="E11" s="72" t="str">
        <x:v>Explicativas candidatas</x:v>
      </x:c>
      <x:c r="F11" s="73" t="str">
        <x:v>Zero significa não identificado, exceto Elevador, que fica em branco quando desconhecido.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</x:row>
    <x:row r="12" ht="42" customHeight="1">
      <x:c r="A12" s="71" t="str">
        <x:v>Semi_mobiliado_1_0; Mobiliado_total_1_0</x:v>
      </x:c>
      <x:c r="B12" s="72" t="str">
        <x:v>Dummies</x:v>
      </x:c>
      <x:c r="C12" s="72" t="str">
        <x:v>1 = categoria publicada</x:v>
      </x:c>
      <x:c r="D12" s="72" t="str">
        <x:v>Anúncio</x:v>
      </x:c>
      <x:c r="E12" s="72" t="str">
        <x:v>Explicativas candidatas</x:v>
      </x:c>
      <x:c r="F12" s="73" t="str">
        <x:v>Categorias separadas; base é sem mobiliário identificado.</x:v>
      </x:c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</x:row>
    <x:row r="13" ht="42" customHeight="1">
      <x:c r="A13" s="71" t="str">
        <x:v>Em_construcao_1_0</x:v>
      </x:c>
      <x:c r="B13" s="72" t="str">
        <x:v>Binária</x:v>
      </x:c>
      <x:c r="C13" s="72" t="str">
        <x:v>1 = lançamento/construção/SPE</x:v>
      </x:c>
      <x:c r="D13" s="72" t="str">
        <x:v>Anúncio</x:v>
      </x:c>
      <x:c r="E13" s="72" t="str">
        <x:v>Controle de segmentação</x:v>
      </x:c>
      <x:c r="F13" s="73" t="str">
        <x:v>Linhas marcadas foram excluídas preliminarmente do conjunto de usados.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</x:row>
    <x:row r="14" ht="42" customHeight="1">
      <x:c r="A14" s="71" t="str">
        <x:v>Condominio_R$_mes</x:v>
      </x:c>
      <x:c r="B14" s="72" t="str">
        <x:v>Quantitativa</x:v>
      </x:c>
      <x:c r="C14" s="72" t="str">
        <x:v>R$/mês</x:v>
      </x:c>
      <x:c r="D14" s="72" t="str">
        <x:v>Anúncio</x:v>
      </x:c>
      <x:c r="E14" s="72" t="str">
        <x:v>Explicativa candidata</x:v>
      </x:c>
      <x:c r="F14" s="73" t="str">
        <x:v>R$ 0 publicado foi preservado; confirmar se é ausência de dado.</x:v>
      </x:c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</x:row>
    <x:row r="15" ht="42" customHeight="1">
      <x:c r="A15" s="71" t="str">
        <x:v>IPTU_R$_ano</x:v>
      </x:c>
      <x:c r="B15" s="72" t="str">
        <x:v>Quantitativa</x:v>
      </x:c>
      <x:c r="C15" s="72" t="str">
        <x:v>R$/ano</x:v>
      </x:c>
      <x:c r="D15" s="72" t="str">
        <x:v>Anúncio normalizado</x:v>
      </x:c>
      <x:c r="E15" s="72" t="str">
        <x:v>Explicativa candidata</x:v>
      </x:c>
      <x:c r="F15" s="73" t="str">
        <x:v>Preenchido apenas quando a periodicidade foi identificada; demais ficam em branco.</x:v>
      </x:c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</x:row>
    <x:row r="16" ht="42" customHeight="1">
      <x:c r="A16" s="71" t="str">
        <x:v>Microzona_cod</x:v>
      </x:c>
      <x:c r="B16" s="72" t="str">
        <x:v>Categórica</x:v>
      </x:c>
      <x:c r="C16" s="72" t="str">
        <x:v>Definir escala/dummies</x:v>
      </x:c>
      <x:c r="D16" s="72" t="str">
        <x:v>Vistoria e mapa</x:v>
      </x:c>
      <x:c r="E16" s="72" t="str">
        <x:v>Localização</x:v>
      </x:c>
      <x:c r="F16" s="73" t="str">
        <x:v>Não existe código universal da NBR; documentar critério reprodutível.</x:v>
      </x:c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</x:row>
    <x:row r="17" ht="42" customHeight="1">
      <x:c r="A17" s="71" t="str">
        <x:v>Conservacao_cod</x:v>
      </x:c>
      <x:c r="B17" s="72" t="str">
        <x:v>Ordinal ou dummies</x:v>
      </x:c>
      <x:c r="C17" s="72" t="str">
        <x:v>Definir escala</x:v>
      </x:c>
      <x:c r="D17" s="72" t="str">
        <x:v>Vistoria</x:v>
      </x:c>
      <x:c r="E17" s="72" t="str">
        <x:v>Estado de conservação</x:v>
      </x:c>
      <x:c r="F17" s="73" t="str">
        <x:v>Somente usar ordinal se ordem e diferenças forem defensáveis.</x:v>
      </x:c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</x:row>
    <x:row r="18" ht="42" customHeight="1">
      <x:c r="A18" s="71" t="str">
        <x:v>Padrao_cod</x:v>
      </x:c>
      <x:c r="B18" s="72" t="str">
        <x:v>Ordinal ou dummies</x:v>
      </x:c>
      <x:c r="C18" s="72" t="str">
        <x:v>Definir escala</x:v>
      </x:c>
      <x:c r="D18" s="72" t="str">
        <x:v>Vistoria</x:v>
      </x:c>
      <x:c r="E18" s="72" t="str">
        <x:v>Padrão construtivo</x:v>
      </x:c>
      <x:c r="F18" s="73" t="str">
        <x:v>Aplicar o mesmo critério ao avaliando e às amostras.</x:v>
      </x:c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</x:row>
    <x:row r="19" ht="42" customHeight="1">
      <x:c r="A19" s="71" t="str">
        <x:v>Natureza_oferta_1</x:v>
      </x:c>
      <x:c r="B19" s="72" t="str">
        <x:v>Binária</x:v>
      </x:c>
      <x:c r="C19" s="72" t="str">
        <x:v>1 = oferta</x:v>
      </x:c>
      <x:c r="D19" s="72" t="str">
        <x:v>Pesquisa</x:v>
      </x:c>
      <x:c r="E19" s="72" t="str">
        <x:v>Controle da natureza do dado</x:v>
      </x:c>
      <x:c r="F19" s="73" t="str">
        <x:v>Toda a base atual é oferta. Não aplicar desconto genérico sem evidência.</x:v>
      </x:c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</x:row>
    <x:row r="20" ht="42" customHeight="1">
      <x:c r="A20" s="74" t="str">
        <x:v>Fonte_cod</x:v>
      </x:c>
      <x:c r="B20" s="75" t="str">
        <x:v>Nominal</x:v>
      </x:c>
      <x:c r="C20" s="75" t="str">
        <x:v>Ver tabela abaixo</x:v>
      </x:c>
      <x:c r="D20" s="75" t="str">
        <x:v>Pesquisa</x:v>
      </x:c>
      <x:c r="E20" s="75" t="str">
        <x:v>Dummies ou auditoria</x:v>
      </x:c>
      <x:c r="F20" s="76" t="str">
        <x:v>Evitar interpretar o número como escala ordinal.</x:v>
      </x:c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</x:row>
    <x:row r="23">
      <x:c r="A23" s="87" t="str">
        <x:v>Fonte_cod</x:v>
      </x:c>
      <x:c r="B23" s="88" t="str">
        <x:v>Fonte</x:v>
      </x:c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</x:row>
    <x:row r="24">
      <x:c r="A24" s="24" t="n">
        <x:v>1</x:v>
      </x:c>
      <x:c r="B24" s="26" t="str">
        <x:v>Auxiliadora Predial</x:v>
      </x:c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</x:row>
    <x:row r="25">
      <x:c r="A25" s="24" t="n">
        <x:v>2</x:v>
      </x:c>
      <x:c r="B25" s="26" t="str">
        <x:v>Brognoli Imóveis</x:v>
      </x:c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</x:row>
    <x:row r="26">
      <x:c r="A26" s="24" t="n">
        <x:v>3</x:v>
      </x:c>
      <x:c r="B26" s="26" t="str">
        <x:v>Chaves na Mão</x:v>
      </x:c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</x:row>
    <x:row r="27">
      <x:c r="A27" s="24" t="n">
        <x:v>4</x:v>
      </x:c>
      <x:c r="B27" s="26" t="str">
        <x:v>Gralha Imóveis</x:v>
      </x:c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</x:row>
    <x:row r="28">
      <x:c r="A28" s="24" t="n">
        <x:v>5</x:v>
      </x:c>
      <x:c r="B28" s="26" t="str">
        <x:v>Imovelweb</x:v>
      </x:c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</x:row>
    <x:row r="29">
      <x:c r="A29" s="27" t="n">
        <x:v>6</x:v>
      </x:c>
      <x:c r="B29" s="29" t="str">
        <x:v>ZAP Imóveis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/>
      <x:c r="AR181" s="1"/>
      <x:c r="AS181" s="1"/>
      <x:c r="AT181" s="1"/>
      <x:c r="AU181" s="1"/>
      <x:c r="AV181" s="1"/>
      <x:c r="AW181" s="1"/>
      <x:c r="AX181" s="1"/>
      <x:c r="AY181" s="1"/>
      <x:c r="A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/>
      <x:c r="AR183" s="1"/>
      <x:c r="AS183" s="1"/>
      <x:c r="AT183" s="1"/>
      <x:c r="AU183" s="1"/>
      <x:c r="AV183" s="1"/>
      <x:c r="AW183" s="1"/>
      <x:c r="AX183" s="1"/>
      <x:c r="AY183" s="1"/>
      <x:c r="A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</x:row>
  </x:sheetData>
  <x:mergeCells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8064A2"/>
  </x:sheetPr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76" hidden="0" customWidth="1"/>
    <x:col min="4" max="4" width="22" hidden="0" customWidth="1"/>
    <x:col min="5" max="5" width="58" hidden="0" customWidth="1"/>
    <x:col min="6" max="6" width="4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>
      <x:c r="A2" s="81" t="str">
        <x:v>Orientações para uso da base</x:v>
      </x:c>
      <x:c r="B2" s="81"/>
      <x:c r="C2" s="81"/>
      <x:c r="D2" s="81"/>
      <x:c r="E2" s="81"/>
      <x:c r="F2" s="8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</x:row>
    <x:row r="4">
      <x:c r="A4" s="50" t="str">
        <x:v>Fluxo recomendado</x:v>
      </x:c>
      <x:c r="B4" s="50"/>
      <x:c r="C4" s="50"/>
      <x:c r="D4" s="50" t="str">
        <x:v>Configuração inicial no ModelaPro</x:v>
      </x:c>
      <x:c r="E4" s="50"/>
      <x:c r="F4" s="50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</x:row>
    <x:row r="5" ht="42" customHeight="1">
      <x:c r="A5" s="95" t="str">
        <x:v>1</x:v>
      </x:c>
      <x:c r="B5" s="22" t="str">
        <x:v>Confirmar o avaliando</x:v>
      </x:c>
      <x:c r="C5" s="98" t="str">
        <x:v>Vistoriar, conferir matrícula, área privativa, vaga, estado, padrão, andar, posição e microzona.</x:v>
      </x:c>
      <x:c r="D5" s="64" t="str">
        <x:v>Campo</x:v>
      </x:c>
      <x:c r="E5" s="65" t="str">
        <x:v>Definição</x:v>
      </x:c>
      <x:c r="F5" s="66" t="str">
        <x:v>Papel ou unidade</x:v>
      </x:c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</x:row>
    <x:row r="6" ht="34" customHeight="1">
      <x:c r="A6" s="96" t="str">
        <x:v>2</x:v>
      </x:c>
      <x:c r="B6" s="25" t="str">
        <x:v>Confirmar comparáveis</x:v>
      </x:c>
      <x:c r="C6" s="73" t="str">
        <x:v>Verificar se o anúncio segue ativo, preço, área, unidade, natureza do dado e condição de pagamento.</x:v>
      </x:c>
      <x:c r="D6" s="71" t="str">
        <x:v>Aba importada</x:v>
      </x:c>
      <x:c r="E6" s="72" t="str">
        <x:v>ModelaPro, primeira aba; cabeçalho na linha 1</x:v>
      </x:c>
      <x:c r="F6" s="73" t="str">
        <x:v>64 amostras elegíveis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</x:row>
    <x:row r="7" ht="34" customHeight="1">
      <x:c r="A7" s="96" t="str">
        <x:v>3</x:v>
      </x:c>
      <x:c r="B7" s="25" t="str">
        <x:v>Depurar a amostra</x:v>
      </x:c>
      <x:c r="C7" s="73" t="str">
        <x:v>Revisar duplicidades, lançamentos, conflitos, dados extremos e aderência ao segmento concorrente.</x:v>
      </x:c>
      <x:c r="D7" s="71" t="str">
        <x:v>Alvo</x:v>
      </x:c>
      <x:c r="E7" s="72" t="str">
        <x:v>preco</x:v>
      </x:c>
      <x:c r="F7" s="73" t="str">
        <x:v>target; BRL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</x:row>
    <x:row r="8" ht="34" customHeight="1">
      <x:c r="A8" s="96" t="str">
        <x:v>4</x:v>
      </x:c>
      <x:c r="B8" s="25" t="str">
        <x:v>Completar variáveis</x:v>
      </x:c>
      <x:c r="C8" s="73" t="str">
        <x:v>Definir e preencher Microzona, Conservação e Padrão com critérios uniformes e documentados.</x:v>
      </x:c>
      <x:c r="D8" s="71" t="str">
        <x:v>Preditores iniciais</x:v>
      </x:c>
      <x:c r="E8" s="72" t="str">
        <x:v>area; dormitorios; vagas; banheiros</x:v>
      </x:c>
      <x:c r="F8" s="73" t="str">
        <x:v>predictor; m2 e contagens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</x:row>
    <x:row r="9" ht="34" customHeight="1">
      <x:c r="A9" s="96" t="str">
        <x:v>5</x:v>
      </x:c>
      <x:c r="B9" s="25" t="str">
        <x:v>Modelar</x:v>
      </x:c>
      <x:c r="C9" s="73" t="str">
        <x:v>Escolher uma variável dependente, testar formas funcionais simples e selecionar explicativas com suporte amostral.</x:v>
      </x:c>
      <x:c r="D9" s="71" t="str">
        <x:v>Casos completos</x:v>
      </x:c>
      <x:c r="E9" s="72" t="str">
        <x:v>57 com os quatro preditores iniciais</x:v>
      </x:c>
      <x:c r="F9" s="73" t="str">
        <x:v>complete_case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</x:row>
    <x:row r="10" ht="34" customHeight="1">
      <x:c r="A10" s="96" t="str">
        <x:v>6</x:v>
      </x:c>
      <x:c r="B10" s="25" t="str">
        <x:v>Diagnosticar</x:v>
      </x:c>
      <x:c r="C10" s="73" t="str">
        <x:v>Examinar resíduos, linearidade, normalidade, homocedasticidade, autocorrelação, multicolinearidade, significância, micronumerosidade e extrapolação.</x:v>
      </x:c>
      <x:c r="D10" s="71" t="str">
        <x:v>Identificação</x:v>
      </x:c>
      <x:c r="E10" s="72" t="str">
        <x:v>id</x:v>
      </x:c>
      <x:c r="F10" s="73" t="str">
        <x:v>identifier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</x:row>
    <x:row r="11" ht="34" customHeight="1">
      <x:c r="A11" s="97" t="str">
        <x:v>7</x:v>
      </x:c>
      <x:c r="B11" s="28" t="str">
        <x:v>Concluir</x:v>
      </x:c>
      <x:c r="C11" s="76" t="str">
        <x:v>Apresentar campo de arbítrio quando aplicável, incerteza, limitações, data de referência e responsabilidade técnica.</x:v>
      </x:c>
      <x:c r="D11" s="71" t="str">
        <x:v>Rastreabilidade</x:v>
      </x:c>
      <x:c r="E11" s="72" t="str">
        <x:v>fonte; data_coleta; endereco; url</x:v>
      </x:c>
      <x:c r="F11" s="73" t="str">
        <x:v>source/date/identifier ou excluded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</x:row>
    <x:row r="12" ht="34" customHeight="1">
      <x:c r="A12" s="1"/>
      <x:c r="B12" s="1"/>
      <x:c r="C12" s="1"/>
      <x:c r="D12" s="74" t="str">
        <x:v>Avaliando</x:v>
      </x:c>
      <x:c r="E12" s="75" t="str">
        <x:v>area 99; dormitorios 3; vagas 1; banheiros 2</x:v>
      </x:c>
      <x:c r="F12" s="76" t="str">
        <x:v>informar na etapa do avaliando</x:v>
      </x:c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</x:row>
    <x:row r="14">
      <x:c r="A14" s="50" t="str">
        <x:v>Limites importantes</x:v>
      </x:c>
      <x:c r="B14" s="50"/>
      <x:c r="C14" s="50"/>
      <x:c r="D14" s="50"/>
      <x:c r="E14" s="50"/>
      <x:c r="F14" s="50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</x:row>
    <x:row r="15">
      <x:c r="A15" s="100" t="str">
        <x:v>Os dados são preços pedidos. Não representam preços transacionados.</x:v>
      </x:c>
      <x:c r="B15" s="100"/>
      <x:c r="C15" s="100"/>
      <x:c r="D15" s="100"/>
      <x:c r="E15" s="100"/>
      <x:c r="F15" s="100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</x:row>
    <x:row r="16">
      <x:c r="A16" s="100" t="str">
        <x:v>Não foi aplicado fator de oferta. Qualquer ajuste exige evidência de mercado e explicitação no laudo.</x:v>
      </x:c>
      <x:c r="B16" s="100"/>
      <x:c r="C16" s="100"/>
      <x:c r="D16" s="100"/>
      <x:c r="E16" s="100"/>
      <x:c r="F16" s="100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</x:row>
    <x:row r="17">
      <x:c r="A17" s="100" t="str">
        <x:v>A base auxilia a pesquisa. Não substitui vistoria, documentação, tratamento estatístico, ART/RRT ou laudo por profissional habilitado.</x:v>
      </x:c>
      <x:c r="B17" s="100"/>
      <x:c r="C17" s="100"/>
      <x:c r="D17" s="100"/>
      <x:c r="E17" s="100"/>
      <x:c r="F17" s="100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</x:row>
    <x:row r="20">
      <x:c r="A20" s="50" t="str">
        <x:v>Referências técnicas</x:v>
      </x:c>
      <x:c r="B20" s="50"/>
      <x:c r="C20" s="50"/>
      <x:c r="D20" s="50"/>
      <x:c r="E20" s="50"/>
      <x:c r="F20" s="50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</x:row>
    <x:row r="21">
      <x:c r="A21" s="64" t="str">
        <x:v>Referência</x:v>
      </x:c>
      <x:c r="B21" s="65" t="str">
        <x:v>Edição/data</x:v>
      </x:c>
      <x:c r="C21" s="65" t="str">
        <x:v>Finalidade</x:v>
      </x:c>
      <x:c r="D21" s="65" t="str">
        <x:v>Fonte</x:v>
      </x:c>
      <x:c r="E21" s="65" t="str">
        <x:v>URL</x:v>
      </x:c>
      <x:c r="F21" s="66" t="str">
        <x:v>Nota</x:v>
      </x:c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</x:row>
    <x:row r="22">
      <x:c r="A22" s="71" t="str">
        <x:v>ABNT NBR 14653-1</x:v>
      </x:c>
      <x:c r="B22" s="72" t="str">
        <x:v>2019</x:v>
      </x:c>
      <x:c r="C22" s="72" t="str">
        <x:v>Procedimentos gerais</x:v>
      </x:c>
      <x:c r="D22" s="72" t="str">
        <x:v>Confea</x:v>
      </x:c>
      <x:c r="E22" s="103" t="str">
        <x:v>https://www.confea.org.br/abnt-publica-versao-revisada-da-norma-de-avaliacao-de-bens</x:v>
      </x:c>
      <x:c r="F22" s="73" t="str">
        <x:v>Conferir vigência no Catálogo ABNT antes do laudo.</x:v>
      </x:c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</x:row>
    <x:row r="23">
      <x:c r="A23" s="71" t="str">
        <x:v>ABNT NBR 14653-2</x:v>
      </x:c>
      <x:c r="B23" s="72" t="str">
        <x:v>2011</x:v>
      </x:c>
      <x:c r="C23" s="72" t="str">
        <x:v>Imóveis urbanos</x:v>
      </x:c>
      <x:c r="D23" s="72" t="str">
        <x:v>Catálogo ABNT</x:v>
      </x:c>
      <x:c r="E23" s="103" t="str">
        <x:v>https://www.abntcatalogo.com.br/</x:v>
      </x:c>
      <x:c r="F23" s="73" t="str">
        <x:v>Adquirir/consultar o texto oficial vigente.</x:v>
      </x:c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</x:row>
    <x:row r="24">
      <x:c r="A24" s="71" t="str">
        <x:v>Manual de Avaliação de Imóveis da União</x:v>
      </x:c>
      <x:c r="B24" s="72" t="str">
        <x:v>Março de 2024</x:v>
      </x:c>
      <x:c r="C24" s="72" t="str">
        <x:v>Roteiro institucional e exemplos SisDEA</x:v>
      </x:c>
      <x:c r="D24" s="72" t="str">
        <x:v>SPU/MGI</x:v>
      </x:c>
      <x:c r="E24" s="103" t="str">
        <x:v>https://www.gov.br/gestao/pt-br/assuntos/patrimonio-da-uniao/avaliacao-de-imoveis-da-uniao/manual-de-avaliacao-de-imoveis-2024-r3-final-1.pdf/%40%40download/file</x:v>
      </x:c>
      <x:c r="F24" s="73" t="str">
        <x:v>Material público de apoio; não substitui a norma.</x:v>
      </x:c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</x:row>
    <x:row r="25">
      <x:c r="A25" s="71" t="str">
        <x:v>Norma para Avaliação de Imóveis Urbanos</x:v>
      </x:c>
      <x:c r="B25" s="72" t="str">
        <x:v>Consulta 2026</x:v>
      </x:c>
      <x:c r="C25" s="72" t="str">
        <x:v>Complemento técnico</x:v>
      </x:c>
      <x:c r="D25" s="72" t="str">
        <x:v>IBAPE/SP</x:v>
      </x:c>
      <x:c r="E25" s="103" t="str">
        <x:v>https://www.ibape-sp.org.br/wp-content/uploads/2025/12/1628619845-1543258003-norma-para-avaliacao-de-imoveis-urbanos-1-1.pdf</x:v>
      </x:c>
      <x:c r="F25" s="73" t="str">
        <x:v>Aplicar apenas quando pertinente ao trabalho e jurisdição.</x:v>
      </x:c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</x:row>
    <x:row r="26">
      <x:c r="A26" s="74" t="str">
        <x:v>Imóvel avaliando</x:v>
      </x:c>
      <x:c r="B26" s="75" t="str">
        <x:v>Consulta 13/09/2026</x:v>
      </x:c>
      <x:c r="C26" s="75" t="str">
        <x:v>Características e preço pedido</x:v>
      </x:c>
      <x:c r="D26" s="75" t="str">
        <x:v>Gralha Imóveis</x:v>
      </x:c>
      <x:c r="E26" s="104" t="str">
        <x:v>https://www.gralhaimoveis.com.br/imovel/venda+apartamento+3-quartos+centro+florianopolis+sc+99m2+rs750000/165137551</x:v>
      </x:c>
      <x:c r="F26" s="76" t="str">
        <x:v>Confirmar áreas e disponibilidade.</x:v>
      </x:c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/>
      <x:c r="AR181" s="1"/>
      <x:c r="AS181" s="1"/>
      <x:c r="AT181" s="1"/>
      <x:c r="AU181" s="1"/>
      <x:c r="AV181" s="1"/>
      <x:c r="AW181" s="1"/>
      <x:c r="AX181" s="1"/>
      <x:c r="AY181" s="1"/>
      <x:c r="A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/>
      <x:c r="AR183" s="1"/>
      <x:c r="AS183" s="1"/>
      <x:c r="AT183" s="1"/>
      <x:c r="AU183" s="1"/>
      <x:c r="AV183" s="1"/>
      <x:c r="AW183" s="1"/>
      <x:c r="AX183" s="1"/>
      <x:c r="AY183" s="1"/>
      <x:c r="A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</x:row>
  </x:sheetData>
  <x:mergeCells>
    <x:mergeCell ref="A2:F2"/>
    <x:mergeCell ref="A4:C4"/>
    <x:mergeCell ref="D4:F4"/>
    <x:mergeCell ref="A14:F14"/>
    <x:mergeCell ref="A15:F15"/>
    <x:mergeCell ref="A16:F16"/>
    <x:mergeCell ref="A17:F17"/>
    <x:mergeCell ref="A20:F20"/>
  </x:mergeCells>
  <x:pageMargins left="0.7" right="0.7" top="0.75" bottom="0.75" header="0.3" footer="0.3"/>
</x:worksheet>
</file>